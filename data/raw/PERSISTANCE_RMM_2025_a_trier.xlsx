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2093" documentId="11_8A36F8364178290368EFE683B084A92309B1A835" xr6:coauthVersionLast="47" xr6:coauthVersionMax="47" xr10:uidLastSave="{AFC56491-5E2D-4A10-B7F0-CA3EEF238A96}"/>
  <bookViews>
    <workbookView xWindow="0" yWindow="0" windowWidth="16384" windowHeight="8192" tabRatio="500" firstSheet="1" xr2:uid="{00000000-000D-0000-FFFF-FFFF00000000}"/>
  </bookViews>
  <sheets>
    <sheet name="data_brutes" sheetId="2" r:id="rId1"/>
    <sheet name="data_clean" sheetId="3" r:id="rId2"/>
    <sheet name="Exemple" sheetId="1" r:id="rId3"/>
  </sheets>
  <definedNames>
    <definedName name="_xlnm._FilterDatabase" localSheetId="1" hidden="1">data_clean!$A$1:$S$47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M44" i="3" l="1"/>
  <c r="M19" i="3"/>
  <c r="M13" i="3"/>
  <c r="M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MJM</author>
    <author>tc={F145B217-5A03-4BA0-97AA-79BAD1BB780E}</author>
  </authors>
  <commentList>
    <comment ref="H1" authorId="0" shapeId="0" xr:uid="{36FFA844-C3C0-402A-A6D7-87F789A653AD}">
      <text>
        <r>
          <rPr>
            <sz val="10"/>
            <rFont val="Arial"/>
            <family val="2"/>
          </rPr>
          <t>COMPLÉTER LES COLONNES SUIVANTES SELON CARNET ET PHOTOS TRIÉES</t>
        </r>
      </text>
    </comment>
    <comment ref="I1" authorId="1" shapeId="0" xr:uid="{F145B217-5A03-4BA0-97AA-79BAD1BB780E}">
      <text>
        <t>[Threaded comment]
Your version of Excel allows you to read this threaded comment; however, any edits to it will get removed if the file is opened in a newer version of Excel. Learn more: https://go.microsoft.com/fwlink/?linkid=870924
Comment:
    Si poulet disparu, mettre 1, autrement 0.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MJM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Identifiant unique pour chaque test.</t>
        </r>
      </text>
    </comment>
    <comment ref="H1" authorId="0" shapeId="0" xr:uid="{00000000-0006-0000-0000-000002000000}">
      <text>
        <r>
          <rPr>
            <sz val="10"/>
            <color rgb="FF000000"/>
            <rFont val="Arial"/>
            <family val="2"/>
            <charset val="1"/>
          </rPr>
          <t>EN 24H</t>
        </r>
      </text>
    </comment>
    <comment ref="K1" authorId="0" shapeId="0" xr:uid="{00000000-0006-0000-0000-000003000000}">
      <text>
        <r>
          <rPr>
            <sz val="10"/>
            <color rgb="FF000000"/>
            <rFont val="Arial"/>
            <family val="2"/>
            <charset val="1"/>
          </rPr>
          <t>EN 24H</t>
        </r>
      </text>
    </comment>
  </commentList>
</comments>
</file>

<file path=xl/sharedStrings.xml><?xml version="1.0" encoding="utf-8"?>
<sst xmlns="http://schemas.openxmlformats.org/spreadsheetml/2006/main" count="1055" uniqueCount="385">
  <si>
    <t>ele</t>
  </si>
  <si>
    <t>time</t>
  </si>
  <si>
    <t>hour</t>
  </si>
  <si>
    <t>name</t>
  </si>
  <si>
    <t>sym</t>
  </si>
  <si>
    <t>layer</t>
  </si>
  <si>
    <t>path</t>
  </si>
  <si>
    <t>x</t>
  </si>
  <si>
    <t>y</t>
  </si>
  <si>
    <t>heureQuebec</t>
  </si>
  <si>
    <t>19.407839000000000</t>
  </si>
  <si>
    <t>PERSIP-T02-1-5H</t>
  </si>
  <si>
    <t>Waterfowl</t>
  </si>
  <si>
    <t>Waypoints_2025-06-03 â€” waypoints</t>
  </si>
  <si>
    <t>/home/aufay1/Documents/UNI_LAVAL_PDR/MTQ-Monteregie/DONNES_2025/GPX/Waypoints_2025-06-03.gpx|layername=waypoints</t>
  </si>
  <si>
    <t>-73.38919</t>
  </si>
  <si>
    <t>45.63085</t>
  </si>
  <si>
    <t>16.981859000000000</t>
  </si>
  <si>
    <t>PERSIP-T25-1-20H</t>
  </si>
  <si>
    <t>Waypoints_2025-06-04 â€” waypoints</t>
  </si>
  <si>
    <t>/home/aufay1/Documents/UNI_LAVAL_PDR/MTQ-Monteregie/DONNES_2025/GPX/Waypoints_2025-06-04.gpx|layername=waypoints</t>
  </si>
  <si>
    <t>-73.37422</t>
  </si>
  <si>
    <t>45.69653</t>
  </si>
  <si>
    <t>14.910445000000000</t>
  </si>
  <si>
    <t>PERSIP-T02-2-20H</t>
  </si>
  <si>
    <t>-73.38827</t>
  </si>
  <si>
    <t>45.63019</t>
  </si>
  <si>
    <t>40.177959000000000</t>
  </si>
  <si>
    <t>PERSIP-T28</t>
  </si>
  <si>
    <t>Waypoints_2025-06-09 â€” waypoints</t>
  </si>
  <si>
    <t>/home/aufay1/Documents/UNI_LAVAL_PDR/MTQ-Monteregie/DONNES_2025/GPX/Waypoints_2025-06-09.gpx|layername=waypoints</t>
  </si>
  <si>
    <t>-73.85089</t>
  </si>
  <si>
    <t>45.30022</t>
  </si>
  <si>
    <t>41.558903000000000</t>
  </si>
  <si>
    <t>PERSIP-T01</t>
  </si>
  <si>
    <t>-73.77488</t>
  </si>
  <si>
    <t>45.33772</t>
  </si>
  <si>
    <t>34.794151000000000</t>
  </si>
  <si>
    <t>Waypoints_2025-06-11 â€” waypoints</t>
  </si>
  <si>
    <t>/home/aufay1/Documents/UNI_LAVAL_PDR/MTQ-Monteregie/DONNES_2025/GPX/Waypoints_2025-06-11.gpx|layername=waypoints</t>
  </si>
  <si>
    <t>-73.77777</t>
  </si>
  <si>
    <t>45.33741</t>
  </si>
  <si>
    <t>37.397411000000000</t>
  </si>
  <si>
    <t>-73.84584</t>
  </si>
  <si>
    <t>45.29655</t>
  </si>
  <si>
    <t>8.901480000000000</t>
  </si>
  <si>
    <t>PERSIP-T57</t>
  </si>
  <si>
    <t>Waypoints_2025-06-16 â€” waypoints</t>
  </si>
  <si>
    <t>/home/aufay1/Documents/UNI_LAVAL_PDR/MTQ-Monteregie/DONNES_2025/GPX/Waypoints_2025-06-16.gpx|layername=waypoints</t>
  </si>
  <si>
    <t>-73.51115</t>
  </si>
  <si>
    <t>45.73141</t>
  </si>
  <si>
    <t>PERSI-T20-2-20H</t>
  </si>
  <si>
    <t>Blood Trail</t>
  </si>
  <si>
    <t>Waypoints_2025-06-18 â€” waypoints</t>
  </si>
  <si>
    <t>/home/aufay1/Documents/UNI_LAVAL_PDR/MTQ-Monteregie/DONNES_2025/GPX/Waypoints_2025-06-18.gpx|layername=waypoints</t>
  </si>
  <si>
    <t>-73.50900</t>
  </si>
  <si>
    <t>45.71683</t>
  </si>
  <si>
    <t>PERSI-T57-2-20H</t>
  </si>
  <si>
    <t>-73.50766</t>
  </si>
  <si>
    <t>45.73115</t>
  </si>
  <si>
    <t>38.153198000000000</t>
  </si>
  <si>
    <t>PERSIP-T35</t>
  </si>
  <si>
    <t>Waypoints_2025-06-25 â€” waypoints</t>
  </si>
  <si>
    <t>/home/aufay1/Documents/UNI_LAVAL_PDR/MTQ-Monteregie/DONNES_2025/GPX/Waypoints_2025-06-25.gpx|layername=waypoints</t>
  </si>
  <si>
    <t>-74.05452</t>
  </si>
  <si>
    <t>45.47807</t>
  </si>
  <si>
    <t>22.878857000000000</t>
  </si>
  <si>
    <t>PERSIP-T36</t>
  </si>
  <si>
    <t>-74.13155</t>
  </si>
  <si>
    <t>45.48974</t>
  </si>
  <si>
    <t>26.517826000000000</t>
  </si>
  <si>
    <t>PERSIP-T26</t>
  </si>
  <si>
    <t>-73.38433</t>
  </si>
  <si>
    <t>45.57250</t>
  </si>
  <si>
    <t>32.536121000000000</t>
  </si>
  <si>
    <t>PERSIP-T48</t>
  </si>
  <si>
    <t>-73.37738</t>
  </si>
  <si>
    <t>45.61041</t>
  </si>
  <si>
    <t>27.964083000000000</t>
  </si>
  <si>
    <t>PERSI-T61-1-5H</t>
  </si>
  <si>
    <t>Waypoints_2025-07-01 â€” waypoints</t>
  </si>
  <si>
    <t>/home/aufay1/Documents/UNI_LAVAL_PDR/MTQ-Monteregie/DONNES_2025/GPX/Waypoints_2025-07-01.gpx|layername=waypoints</t>
  </si>
  <si>
    <t>-73.51932</t>
  </si>
  <si>
    <t>45.37011</t>
  </si>
  <si>
    <t>52.139904000000000</t>
  </si>
  <si>
    <t>PERSI-T65-1-5H</t>
  </si>
  <si>
    <t>-73.48907</t>
  </si>
  <si>
    <t>45.29974</t>
  </si>
  <si>
    <t>21.899134000000000</t>
  </si>
  <si>
    <t>PERSIP-T41-5H</t>
  </si>
  <si>
    <t>Waypoints_2025-07-02 â€” waypoints</t>
  </si>
  <si>
    <t>/home/aufay1/Documents/UNI_LAVAL_PDR/MTQ-Monteregie/DONNES_2025/GPX/Waypoints_2025-07-02.gpx|layername=waypoints</t>
  </si>
  <si>
    <t>-73.40971</t>
  </si>
  <si>
    <t>45.42931</t>
  </si>
  <si>
    <t>19.370516000000000</t>
  </si>
  <si>
    <t>PERSI-T42-1-5H</t>
  </si>
  <si>
    <t>-73.38791</t>
  </si>
  <si>
    <t>45.41443</t>
  </si>
  <si>
    <t>40.784454000000000</t>
  </si>
  <si>
    <t>PERSIP-T65-20H</t>
  </si>
  <si>
    <t>-73.48582</t>
  </si>
  <si>
    <t>45.29571</t>
  </si>
  <si>
    <t>33.935726000000000</t>
  </si>
  <si>
    <t>PERSIP-T61-20H</t>
  </si>
  <si>
    <t>-73.51938</t>
  </si>
  <si>
    <t>45.36577</t>
  </si>
  <si>
    <t>26.891054000000000</t>
  </si>
  <si>
    <t>PERSIP-T09</t>
  </si>
  <si>
    <t>Waypoints_2025-07-07 â€” waypoints</t>
  </si>
  <si>
    <t>/home/aufay1/Documents/UNI_LAVAL_PDR/MTQ-Monteregie/DONNES_2025/GPX/Waypoints_2025-07-07.gpx|layername=waypoints</t>
  </si>
  <si>
    <t>-73.87687</t>
  </si>
  <si>
    <t>45.42847</t>
  </si>
  <si>
    <t>30.567347000000000</t>
  </si>
  <si>
    <t>PERSIP-T03</t>
  </si>
  <si>
    <t>-74.04760</t>
  </si>
  <si>
    <t>45.40546</t>
  </si>
  <si>
    <t>17.961582000000000</t>
  </si>
  <si>
    <t>PERSIP-T41-20H</t>
  </si>
  <si>
    <t>Waypoints_2025-07-08 â€” waypoints</t>
  </si>
  <si>
    <t>/home/aufay1/Documents/UNI_LAVAL_PDR/MTQ-Monteregie/DONNES_2025/GPX/Waypoints_2025-07-08.gpx|layername=waypoints</t>
  </si>
  <si>
    <t>-73.40996</t>
  </si>
  <si>
    <t>45.42951</t>
  </si>
  <si>
    <t>21.087364000000000</t>
  </si>
  <si>
    <t>PERSIP-T42-20H</t>
  </si>
  <si>
    <t>-73.38925</t>
  </si>
  <si>
    <t>45.41532</t>
  </si>
  <si>
    <t>13.912062000000000</t>
  </si>
  <si>
    <t>PERSIP-T14-20H</t>
  </si>
  <si>
    <t>Waypoints_2025-07-09 â€” waypoints</t>
  </si>
  <si>
    <t>/home/aufay1/Documents/UNI_LAVAL_PDR/MTQ-Monteregie/DONNES_2025/GPX/Waypoints_2025-07-09.gpx|layername=waypoints</t>
  </si>
  <si>
    <t>-73.28212</t>
  </si>
  <si>
    <t>45.44416</t>
  </si>
  <si>
    <t>35.055408000000000</t>
  </si>
  <si>
    <t>PERSIP-T39-20H</t>
  </si>
  <si>
    <t>-73.24159</t>
  </si>
  <si>
    <t>45.44211</t>
  </si>
  <si>
    <t>69.224403000000000</t>
  </si>
  <si>
    <t>PERSIP-T45-5H</t>
  </si>
  <si>
    <t>Waypoints_2025-07-14 â€” waypoints</t>
  </si>
  <si>
    <t>/home/aufay1/Documents/UNI_LAVAL_PDR/MTQ-Monteregie/DONNES_2025/GPX/Waypoints_2025-07-14.gpx|layername=waypoints</t>
  </si>
  <si>
    <t>-74.00968</t>
  </si>
  <si>
    <t>45.75001</t>
  </si>
  <si>
    <t>77.388756000000000</t>
  </si>
  <si>
    <t>PERSIP-T22-5H</t>
  </si>
  <si>
    <t>-74.08637</t>
  </si>
  <si>
    <t>45.70421</t>
  </si>
  <si>
    <t>68.431290000000000</t>
  </si>
  <si>
    <t>PERSIP-T59-5H</t>
  </si>
  <si>
    <t>-74.15374</t>
  </si>
  <si>
    <t>45.69022</t>
  </si>
  <si>
    <t>24.101177000000000</t>
  </si>
  <si>
    <t>PERSI-T48-2-5H</t>
  </si>
  <si>
    <t>Waypoints_2025-07-17 â€” waypoints</t>
  </si>
  <si>
    <t>/home/aufay1/Documents/UNI_LAVAL_PDR/MTQ-Monteregie/DONNES_2025/GPX/Waypoints_2025-07-17.gpx|layername=waypoints</t>
  </si>
  <si>
    <t>-73.37622</t>
  </si>
  <si>
    <t>45.60916</t>
  </si>
  <si>
    <t>29.755575000000000</t>
  </si>
  <si>
    <t>PERSIP-T25-5H</t>
  </si>
  <si>
    <t>-73.37547</t>
  </si>
  <si>
    <t>45.69451</t>
  </si>
  <si>
    <t>37.014854000000000</t>
  </si>
  <si>
    <t>PERSIP-T26-5H</t>
  </si>
  <si>
    <t>-73.38482</t>
  </si>
  <si>
    <t>45.57242</t>
  </si>
  <si>
    <t>20.116972000000000</t>
  </si>
  <si>
    <t>PERSIP-T14-5H</t>
  </si>
  <si>
    <t>Waypoints_2025-07-21 â€” waypoints</t>
  </si>
  <si>
    <t>/home/aufay1/Documents/UNI_LAVAL_PDR/MTQ-Monteregie/DONNES_2025/GPX/Waypoints_2025-07-21.gpx|layername=waypoints</t>
  </si>
  <si>
    <t>-73.28083</t>
  </si>
  <si>
    <t>45.44393</t>
  </si>
  <si>
    <t>36.221745000000000</t>
  </si>
  <si>
    <t>PERSIP-T39-5H</t>
  </si>
  <si>
    <t>-73.23386</t>
  </si>
  <si>
    <t>45.43971</t>
  </si>
  <si>
    <t>35.540604000000000</t>
  </si>
  <si>
    <t>PERSIP-T36-20H</t>
  </si>
  <si>
    <t>Waypoints_2025-07-22 â€” waypoints</t>
  </si>
  <si>
    <t>/home/aufay1/Documents/UNI_LAVAL_PDR/MTQ-Monteregie/DONNES_2025/GPX/Waypoints_2025-07-22.gpx|layername=waypoints</t>
  </si>
  <si>
    <t>-74.13257</t>
  </si>
  <si>
    <t>45.49240</t>
  </si>
  <si>
    <t>PERSIP-T35-20H</t>
  </si>
  <si>
    <t>-74.13252</t>
  </si>
  <si>
    <t>45.49152</t>
  </si>
  <si>
    <t>41.754845000000000</t>
  </si>
  <si>
    <t>-74.06008</t>
  </si>
  <si>
    <t>45.47631</t>
  </si>
  <si>
    <t>91.869987000000000</t>
  </si>
  <si>
    <t>PERSIP-T22-20H</t>
  </si>
  <si>
    <t>Waypoints_2025-07-23 â€” waypoints</t>
  </si>
  <si>
    <t>/home/aufay1/Documents/UNI_LAVAL_PDR/MTQ-Monteregie/DONNES_2025/GPX/Waypoints_2025-07-23.gpx|layername=waypoints</t>
  </si>
  <si>
    <t>-74.08780</t>
  </si>
  <si>
    <t>45.70444</t>
  </si>
  <si>
    <t>70.810623000000000</t>
  </si>
  <si>
    <t>PERSIP-T59-20H</t>
  </si>
  <si>
    <t>-74.15420</t>
  </si>
  <si>
    <t>45.68975</t>
  </si>
  <si>
    <t>23.662634000000000</t>
  </si>
  <si>
    <t>PERSIP-T47-5H</t>
  </si>
  <si>
    <t>Waypoints_2025-07-28 â€” waypoints</t>
  </si>
  <si>
    <t>/home/aufay1/Documents/UNI_LAVAL_PDR/MTQ-Monteregie/DONNES_2025/GPX/Waypoints_2025-07-28.gpx|layername=waypoints</t>
  </si>
  <si>
    <t>-73.46725</t>
  </si>
  <si>
    <t>45.39345</t>
  </si>
  <si>
    <t>31.099195000000000</t>
  </si>
  <si>
    <t>PERSIP-T40-5H</t>
  </si>
  <si>
    <t>-73.48175</t>
  </si>
  <si>
    <t>45.38261</t>
  </si>
  <si>
    <t>30.268764000000000</t>
  </si>
  <si>
    <t>PERSIP-T49-5H</t>
  </si>
  <si>
    <t>-73.45151</t>
  </si>
  <si>
    <t>45.39936</t>
  </si>
  <si>
    <t>25.323498000000000</t>
  </si>
  <si>
    <t>PERSIP-T47-20H</t>
  </si>
  <si>
    <t>Waypoints_2025-07-30 â€” waypoints</t>
  </si>
  <si>
    <t>/home/aufay1/Documents/UNI_LAVAL_PDR/MTQ-Monteregie/DONNES_2025/GPX/Waypoints_2025-07-30.gpx|layername=waypoints</t>
  </si>
  <si>
    <t>-73.46705</t>
  </si>
  <si>
    <t>45.39378</t>
  </si>
  <si>
    <t>24.614365000000000</t>
  </si>
  <si>
    <t>PERSIP-T40-20H</t>
  </si>
  <si>
    <t>-73.48125</t>
  </si>
  <si>
    <t>45.38280</t>
  </si>
  <si>
    <t>26.947039000000000</t>
  </si>
  <si>
    <t>PERSIP-T49-20H</t>
  </si>
  <si>
    <t>-73.45037</t>
  </si>
  <si>
    <t>45.39876</t>
  </si>
  <si>
    <t>32.750729000000000</t>
  </si>
  <si>
    <t>PERSI-T52-1-5H</t>
  </si>
  <si>
    <t>Waypoints_2025-08-04 ÔÇö waypoints</t>
  </si>
  <si>
    <t>/home/aufay1/Documents/UNI_LAVAL_PDR/MTQ-Monteregie/CARTOGRAPHIE/LOCALISATION_GPX/GPX-GPS-2025/Waypoints_2025-08-04.gpx|layername=waypoints</t>
  </si>
  <si>
    <t>-73.61326</t>
  </si>
  <si>
    <t>45.38146</t>
  </si>
  <si>
    <t>42.417324000000000</t>
  </si>
  <si>
    <t>PERSIP-T53-5H</t>
  </si>
  <si>
    <t>-73.65214</t>
  </si>
  <si>
    <t>45.35042</t>
  </si>
  <si>
    <t>43.938229000000000</t>
  </si>
  <si>
    <t>PERSIP-T62-5H</t>
  </si>
  <si>
    <t>-73.70090</t>
  </si>
  <si>
    <t>45.34210</t>
  </si>
  <si>
    <t>77.379425000000000</t>
  </si>
  <si>
    <t>PERSIP-T52-20H</t>
  </si>
  <si>
    <t>Waypoints_2025-08-06 ÔÇö waypoints</t>
  </si>
  <si>
    <t>/home/aufay1/Documents/UNI_LAVAL_PDR/MTQ-Monteregie/CARTOGRAPHIE/LOCALISATION_GPX/GPX-GPS-2025/Waypoints_2025-08-06.gpx|layername=waypoints</t>
  </si>
  <si>
    <t>-73.61316</t>
  </si>
  <si>
    <t>45.38141</t>
  </si>
  <si>
    <t>40.943077000000000</t>
  </si>
  <si>
    <t>PERSIP-T53-20H</t>
  </si>
  <si>
    <t>-73.65215</t>
  </si>
  <si>
    <t>41.773506000000000</t>
  </si>
  <si>
    <t>PERSIP-T62-20H</t>
  </si>
  <si>
    <t>-73.70080</t>
  </si>
  <si>
    <t>45.34207</t>
  </si>
  <si>
    <t>69.467003000000000</t>
  </si>
  <si>
    <t>PERSIP-T15-5H</t>
  </si>
  <si>
    <t>Waypoints_2025-08-11 ÔÇö waypoints</t>
  </si>
  <si>
    <t>/home/aufay1/Documents/UNI_LAVAL_PDR/MTQ-Monteregie/CARTOGRAPHIE/LOCALISATION_GPX/GPX-GPS-2025/Waypoints_2025-08-11.gpx|layername=waypoints</t>
  </si>
  <si>
    <t>-74.12752</t>
  </si>
  <si>
    <t>45.42950</t>
  </si>
  <si>
    <t>34.439583000000000</t>
  </si>
  <si>
    <t>PERSIP-T30-5H</t>
  </si>
  <si>
    <t>-74.05548</t>
  </si>
  <si>
    <t>45.38080</t>
  </si>
  <si>
    <t>52.149235000000000</t>
  </si>
  <si>
    <t>PERSIP-T31-5H</t>
  </si>
  <si>
    <t>-74.11741</t>
  </si>
  <si>
    <t>45.32811</t>
  </si>
  <si>
    <t>30.977896000000000</t>
  </si>
  <si>
    <t>PERSIP-T09-20H</t>
  </si>
  <si>
    <t>Waypoints_2025-08-13 ÔÇö waypoints</t>
  </si>
  <si>
    <t>/home/aufay1/Documents/UNI_LAVAL_PDR/MTQ-Monteregie/CARTOGRAPHIE/LOCALISATION_GPX/GPX-GPS-2025/Waypoints_2025-08-13.gpx|layername=waypoints</t>
  </si>
  <si>
    <t>-73.87685</t>
  </si>
  <si>
    <t>58.923317000000000</t>
  </si>
  <si>
    <t>PERSIP-T31-20H</t>
  </si>
  <si>
    <t>-74.12211</t>
  </si>
  <si>
    <t>45.32611</t>
  </si>
  <si>
    <t>78.097893000000000</t>
  </si>
  <si>
    <t>PERSIP-T15-20H</t>
  </si>
  <si>
    <t>-74.12879</t>
  </si>
  <si>
    <t>45.43004</t>
  </si>
  <si>
    <t>troncon</t>
  </si>
  <si>
    <t>Categorie</t>
  </si>
  <si>
    <t>TypeRoute</t>
  </si>
  <si>
    <t>DateDeploiement</t>
  </si>
  <si>
    <t>HeureDeploiementCamera</t>
  </si>
  <si>
    <t>DateRetraitCamera</t>
  </si>
  <si>
    <t>HeureRetraitCamera</t>
  </si>
  <si>
    <t>PredationPoulet</t>
  </si>
  <si>
    <t>JourPhotoPredation</t>
  </si>
  <si>
    <t>MoisPhotoPredation</t>
  </si>
  <si>
    <t>HeurePhotoPredation</t>
  </si>
  <si>
    <t>TempsPredation</t>
  </si>
  <si>
    <t>Prédateur</t>
  </si>
  <si>
    <t>NomFichierPhoto</t>
  </si>
  <si>
    <t>PrécipitationsEntreDeploiementEtRetraitCamera</t>
  </si>
  <si>
    <t>Commentaires</t>
  </si>
  <si>
    <t>PERSI</t>
  </si>
  <si>
    <t>T02</t>
  </si>
  <si>
    <t>Secondaire</t>
  </si>
  <si>
    <t>IND</t>
  </si>
  <si>
    <t>PERSI_T02_03062025_0716</t>
  </si>
  <si>
    <t>Non</t>
  </si>
  <si>
    <t>T25</t>
  </si>
  <si>
    <t>Aut2voies</t>
  </si>
  <si>
    <t>NA</t>
  </si>
  <si>
    <t>PERSI_T02_05062025_1222_2</t>
  </si>
  <si>
    <t>T28</t>
  </si>
  <si>
    <t>Oui (faible) st martine</t>
  </si>
  <si>
    <t>La caméra est tombée à court de batterie vers 7h50 le matin du retrait</t>
  </si>
  <si>
    <t>T01</t>
  </si>
  <si>
    <t>Oui (faible) p-e trudeau</t>
  </si>
  <si>
    <t>La caméra est tombée à court de batterie vers 8h10 le matin du retrait</t>
  </si>
  <si>
    <t>T57</t>
  </si>
  <si>
    <t>T20</t>
  </si>
  <si>
    <t>Aut3voies</t>
  </si>
  <si>
    <t>Mauvais angle de la caméra. Probablement écrasé par un véhicule.</t>
  </si>
  <si>
    <t>Anthropique?</t>
  </si>
  <si>
    <t>Oui</t>
  </si>
  <si>
    <t>Mauvais angle de la caméra. Beaucoup de photos de véhicules et personnes à proximité, prédateur probablement anthropique.</t>
  </si>
  <si>
    <t>Piles mortes à 8:02 le 19/06/2025</t>
  </si>
  <si>
    <t>T35</t>
  </si>
  <si>
    <t>PERSI_T26_17072025_0629</t>
  </si>
  <si>
    <t>T36</t>
  </si>
  <si>
    <t>Le poulet était toujours présent, mais en morceaux difficilement identifiables. Écrasé par un véhicule : PERSI_T36_25062025_1339_2 et PERSI_T36_25062025_1903</t>
  </si>
  <si>
    <t>T26</t>
  </si>
  <si>
    <t>T48</t>
  </si>
  <si>
    <t>T61</t>
  </si>
  <si>
    <t>T65</t>
  </si>
  <si>
    <t>T41</t>
  </si>
  <si>
    <t>PERSI_T41_02072025_0920_2</t>
  </si>
  <si>
    <t>T42</t>
  </si>
  <si>
    <t>(31:31)</t>
  </si>
  <si>
    <t>Corvus Brachyrhynchos</t>
  </si>
  <si>
    <t>PERSI_T42_03072025_1356_1</t>
  </si>
  <si>
    <t>PERSI_T65_03072025_1406</t>
  </si>
  <si>
    <t>Souris morte sur la chaussée près de la caméra.</t>
  </si>
  <si>
    <t>PERSI_T61_03072025_0832</t>
  </si>
  <si>
    <t>Disparition potentiellement causée par la voiture sur la photo.</t>
  </si>
  <si>
    <t>T09</t>
  </si>
  <si>
    <t>T03</t>
  </si>
  <si>
    <t>Oui (faible)</t>
  </si>
  <si>
    <t>T14</t>
  </si>
  <si>
    <t>Oui (0,2 mm?)</t>
  </si>
  <si>
    <t>T39</t>
  </si>
  <si>
    <t>Oui (0,2mm?)</t>
  </si>
  <si>
    <t>T45</t>
  </si>
  <si>
    <t>Poulet écrasé</t>
  </si>
  <si>
    <t>T22</t>
  </si>
  <si>
    <t>T59</t>
  </si>
  <si>
    <t>Felis sylvestris catus</t>
  </si>
  <si>
    <t>PERSI_T25_18072025_0009_2</t>
  </si>
  <si>
    <t>Poulet morcelé.</t>
  </si>
  <si>
    <t>Oui(si jusqu'au 24, p-ê)</t>
  </si>
  <si>
    <t>Oui(faible)</t>
  </si>
  <si>
    <t>PERSI_T59_24072025_0935_1</t>
  </si>
  <si>
    <t>T47</t>
  </si>
  <si>
    <t>T40</t>
  </si>
  <si>
    <t>T49</t>
  </si>
  <si>
    <t>PERSI_T49_28072025_0706_2</t>
  </si>
  <si>
    <t>PERSI_T47_31072025_0736</t>
  </si>
  <si>
    <t>Poulet écrasé.</t>
  </si>
  <si>
    <t>T52</t>
  </si>
  <si>
    <t>T53</t>
  </si>
  <si>
    <t>T62</t>
  </si>
  <si>
    <t>PERSI_T62_04082025_0735_2</t>
  </si>
  <si>
    <t>Déplacement potentiellement causé par le camion sur la photo.</t>
  </si>
  <si>
    <t>PERSI_T53_07082025_0620_2</t>
  </si>
  <si>
    <t>T15</t>
  </si>
  <si>
    <t>T30</t>
  </si>
  <si>
    <t>Non (selon horaire)</t>
  </si>
  <si>
    <t>T31</t>
  </si>
  <si>
    <t>Grand corbeau</t>
  </si>
  <si>
    <t>PERSI_T09_14082025_0607_2</t>
  </si>
  <si>
    <t>TestID</t>
  </si>
  <si>
    <t>PositionPoulet X</t>
  </si>
  <si>
    <t>PositionPoulet Y</t>
  </si>
  <si>
    <t>Année</t>
  </si>
  <si>
    <t>MoisDeploiementCamera</t>
  </si>
  <si>
    <t>JourDeploiementCamera</t>
  </si>
  <si>
    <t>MomentDeploiementCamera</t>
  </si>
  <si>
    <t>MoisRetraitCamera</t>
  </si>
  <si>
    <t>JourRetraitCamera</t>
  </si>
  <si>
    <t>PER80</t>
  </si>
  <si>
    <t>-73.38294</t>
  </si>
  <si>
    <t>45.41037</t>
  </si>
  <si>
    <t>soir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</si>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</sst>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[h]:mm:ss;@"/>
    <numFmt numFmtId="166" formatCode="h:mm;@"/>
  </numFmts>
  <fonts count="8">
    <font>
      <sz val="10"/>
      <name val="Arial"/>
      <family val="2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</font>
    <font>
      <sz val="10"/>
      <name val="Liberation Sans"/>
      <charset val="1"/>
    </font>
    <font>
      <b/>
      <sz val="10"/>
      <name val="Arial"/>
      <family val="2"/>
    </font>
    <font>
      <b/>
      <sz val="10"/>
      <name val="Liberation Sans"/>
      <charset val="1"/>
    </font>
    <font>
      <b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right"/>
    </xf>
    <xf numFmtId="20" fontId="0" fillId="0" borderId="0" xfId="0" applyNumberFormat="1" applyAlignment="1">
      <alignment horizontal="right"/>
    </xf>
    <xf numFmtId="20" fontId="1" fillId="0" borderId="0" xfId="0" applyNumberFormat="1" applyFont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20" fontId="0" fillId="2" borderId="0" xfId="0" applyNumberFormat="1" applyFill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5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14" fontId="4" fillId="0" borderId="0" xfId="0" applyNumberFormat="1" applyFont="1"/>
    <xf numFmtId="164" fontId="0" fillId="0" borderId="0" xfId="0" applyNumberFormat="1"/>
    <xf numFmtId="165" fontId="6" fillId="0" borderId="0" xfId="0" applyNumberFormat="1" applyFont="1" applyAlignment="1">
      <alignment horizontal="center" vertical="center"/>
    </xf>
    <xf numFmtId="165" fontId="0" fillId="0" borderId="0" xfId="0" applyNumberFormat="1"/>
    <xf numFmtId="164" fontId="4" fillId="0" borderId="0" xfId="0" applyNumberFormat="1" applyFont="1"/>
    <xf numFmtId="20" fontId="0" fillId="0" borderId="0" xfId="0" applyNumberFormat="1"/>
    <xf numFmtId="14" fontId="4" fillId="3" borderId="0" xfId="0" applyNumberFormat="1" applyFont="1" applyFill="1"/>
    <xf numFmtId="14" fontId="6" fillId="0" borderId="0" xfId="0" applyNumberFormat="1" applyFont="1" applyAlignment="1">
      <alignment horizontal="center" vertical="center"/>
    </xf>
    <xf numFmtId="14" fontId="0" fillId="0" borderId="0" xfId="0" applyNumberFormat="1"/>
    <xf numFmtId="166" fontId="0" fillId="0" borderId="0" xfId="0" applyNumberFormat="1"/>
    <xf numFmtId="166" fontId="7" fillId="0" borderId="0" xfId="0" applyNumberFormat="1" applyFont="1" applyAlignment="1">
      <alignment horizontal="center" vertical="center"/>
    </xf>
    <xf numFmtId="166" fontId="4" fillId="0" borderId="0" xfId="0" applyNumberFormat="1" applyFont="1"/>
    <xf numFmtId="0" fontId="7" fillId="0" borderId="0" xfId="0" applyFont="1" applyAlignment="1">
      <alignment horizontal="center" vertical="center"/>
    </xf>
    <xf numFmtId="0" fontId="0" fillId="3" borderId="0" xfId="0" applyFill="1"/>
    <xf numFmtId="0" fontId="4" fillId="3" borderId="0" xfId="0" applyFont="1" applyFill="1"/>
    <xf numFmtId="164" fontId="0" fillId="3" borderId="0" xfId="0" applyNumberFormat="1" applyFill="1"/>
    <xf numFmtId="1" fontId="5" fillId="0" borderId="0" xfId="0" applyNumberFormat="1" applyFont="1" applyAlignment="1">
      <alignment horizontal="center" vertical="center"/>
    </xf>
    <xf numFmtId="1" fontId="4" fillId="0" borderId="0" xfId="0" applyNumberFormat="1" applyFont="1"/>
    <xf numFmtId="1" fontId="4" fillId="3" borderId="0" xfId="0" applyNumberFormat="1" applyFont="1" applyFill="1"/>
    <xf numFmtId="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c J. Mazerolle" id="{F885433D-1955-4F3D-945B-892FC731D6A9}" userId="S::mamaz7@ulaval.ca::f8d92220-cbae-4c7e-b6c0-77aa0552851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5-10-08T20:40:25.76" personId="{F885433D-1955-4F3D-945B-892FC731D6A9}" id="{F145B217-5A03-4BA0-97AA-79BAD1BB780E}">
    <text>Si poulet disparu, mettre 1, autrement 0.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0BE5-F9E4-40FF-839A-45D8F6BC4A82}">
  <dimension ref="A1:J58"/>
  <sheetViews>
    <sheetView tabSelected="1" workbookViewId="0">
      <selection activeCell="D10" sqref="D10"/>
    </sheetView>
  </sheetViews>
  <sheetFormatPr defaultRowHeight="12.75"/>
  <cols>
    <col min="1" max="1" width="11.7109375" customWidth="1"/>
    <col min="2" max="2" width="21.7109375" bestFit="1" customWidth="1"/>
    <col min="3" max="3" width="21.7109375" style="13" customWidth="1"/>
    <col min="4" max="4" width="22.7109375" customWidth="1"/>
    <col min="5" max="5" width="15.28515625" customWidth="1"/>
    <col min="6" max="6" width="19.5703125" customWidth="1"/>
    <col min="10" max="10" width="18.5703125" customWidth="1"/>
  </cols>
  <sheetData>
    <row r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t="s">
        <v>9</v>
      </c>
    </row>
    <row r="2" spans="1:10">
      <c r="A2" s="8" t="s">
        <v>10</v>
      </c>
      <c r="B2" s="12">
        <v>45811</v>
      </c>
      <c r="C2" s="16">
        <v>0.41388888888888886</v>
      </c>
      <c r="D2" s="8" t="s">
        <v>11</v>
      </c>
      <c r="E2" s="8" t="s">
        <v>12</v>
      </c>
      <c r="F2" s="8" t="s">
        <v>13</v>
      </c>
      <c r="G2" s="8" t="s">
        <v>14</v>
      </c>
      <c r="H2" s="9" t="s">
        <v>15</v>
      </c>
      <c r="I2" s="8" t="s">
        <v>16</v>
      </c>
      <c r="J2" s="13">
        <v>0.2472222222222222</v>
      </c>
    </row>
    <row r="3" spans="1:10">
      <c r="A3" s="8" t="s">
        <v>17</v>
      </c>
      <c r="B3" s="12">
        <v>45813</v>
      </c>
      <c r="C3" s="16">
        <v>1.275462962962963E-2</v>
      </c>
      <c r="D3" s="8" t="s">
        <v>18</v>
      </c>
      <c r="E3" s="8" t="s">
        <v>12</v>
      </c>
      <c r="F3" s="8" t="s">
        <v>19</v>
      </c>
      <c r="G3" s="8" t="s">
        <v>20</v>
      </c>
      <c r="H3" s="9" t="s">
        <v>21</v>
      </c>
      <c r="I3" s="8" t="s">
        <v>22</v>
      </c>
      <c r="J3" s="13">
        <v>0.84608796296296296</v>
      </c>
    </row>
    <row r="4" spans="1:10">
      <c r="A4" s="8" t="s">
        <v>23</v>
      </c>
      <c r="B4" s="12">
        <v>45813</v>
      </c>
      <c r="C4" s="16">
        <v>3.7442129629629631E-2</v>
      </c>
      <c r="D4" s="8" t="s">
        <v>24</v>
      </c>
      <c r="E4" s="8" t="s">
        <v>12</v>
      </c>
      <c r="F4" s="8" t="s">
        <v>19</v>
      </c>
      <c r="G4" s="8" t="s">
        <v>20</v>
      </c>
      <c r="H4" s="9" t="s">
        <v>25</v>
      </c>
      <c r="I4" s="8" t="s">
        <v>26</v>
      </c>
      <c r="J4" s="13">
        <v>0.87077546296296293</v>
      </c>
    </row>
    <row r="5" spans="1:10">
      <c r="A5" s="8" t="s">
        <v>27</v>
      </c>
      <c r="B5" s="12">
        <v>45817</v>
      </c>
      <c r="C5" s="16">
        <v>0.39353009259259258</v>
      </c>
      <c r="D5" s="8" t="s">
        <v>28</v>
      </c>
      <c r="E5" s="8" t="s">
        <v>12</v>
      </c>
      <c r="F5" s="8" t="s">
        <v>29</v>
      </c>
      <c r="G5" s="8" t="s">
        <v>30</v>
      </c>
      <c r="H5" s="9" t="s">
        <v>31</v>
      </c>
      <c r="I5" s="8" t="s">
        <v>32</v>
      </c>
      <c r="J5" s="13">
        <v>0.22686342592592593</v>
      </c>
    </row>
    <row r="6" spans="1:10">
      <c r="A6" s="8" t="s">
        <v>33</v>
      </c>
      <c r="B6" s="12">
        <v>45817</v>
      </c>
      <c r="C6" s="16">
        <v>0.41143518518518518</v>
      </c>
      <c r="D6" s="8" t="s">
        <v>34</v>
      </c>
      <c r="E6" s="8" t="s">
        <v>12</v>
      </c>
      <c r="F6" s="8" t="s">
        <v>29</v>
      </c>
      <c r="G6" s="8" t="s">
        <v>30</v>
      </c>
      <c r="H6" s="9" t="s">
        <v>35</v>
      </c>
      <c r="I6" s="8" t="s">
        <v>36</v>
      </c>
      <c r="J6" s="13">
        <v>0.24476851851851852</v>
      </c>
    </row>
    <row r="7" spans="1:10">
      <c r="A7" s="8" t="s">
        <v>37</v>
      </c>
      <c r="B7" s="12">
        <v>45820</v>
      </c>
      <c r="C7" s="16">
        <v>1.4282407407407407E-2</v>
      </c>
      <c r="D7" s="8" t="s">
        <v>34</v>
      </c>
      <c r="E7" s="8" t="s">
        <v>12</v>
      </c>
      <c r="F7" s="8" t="s">
        <v>38</v>
      </c>
      <c r="G7" s="8" t="s">
        <v>39</v>
      </c>
      <c r="H7" s="9" t="s">
        <v>40</v>
      </c>
      <c r="I7" s="8" t="s">
        <v>41</v>
      </c>
      <c r="J7" s="13">
        <v>0.84761574074074075</v>
      </c>
    </row>
    <row r="8" spans="1:10">
      <c r="A8" s="8" t="s">
        <v>42</v>
      </c>
      <c r="B8" s="12">
        <v>45820</v>
      </c>
      <c r="C8" s="16">
        <v>3.4930555555555555E-2</v>
      </c>
      <c r="D8" s="8" t="s">
        <v>28</v>
      </c>
      <c r="E8" s="8" t="s">
        <v>12</v>
      </c>
      <c r="F8" s="8" t="s">
        <v>38</v>
      </c>
      <c r="G8" s="8" t="s">
        <v>39</v>
      </c>
      <c r="H8" s="9" t="s">
        <v>43</v>
      </c>
      <c r="I8" s="8" t="s">
        <v>44</v>
      </c>
      <c r="J8" s="13">
        <v>0.86826388888888884</v>
      </c>
    </row>
    <row r="9" spans="1:10">
      <c r="A9" s="8" t="s">
        <v>45</v>
      </c>
      <c r="B9" s="12">
        <v>45824</v>
      </c>
      <c r="C9" s="16">
        <v>0.39784722222222224</v>
      </c>
      <c r="D9" s="8" t="s">
        <v>46</v>
      </c>
      <c r="E9" s="8" t="s">
        <v>12</v>
      </c>
      <c r="F9" s="8" t="s">
        <v>47</v>
      </c>
      <c r="G9" s="8" t="s">
        <v>48</v>
      </c>
      <c r="H9" s="9" t="s">
        <v>49</v>
      </c>
      <c r="I9" s="8" t="s">
        <v>50</v>
      </c>
      <c r="J9" s="13">
        <v>0.23118055555555558</v>
      </c>
    </row>
    <row r="10" spans="1:10">
      <c r="A10" s="8"/>
      <c r="B10" s="12">
        <v>45827</v>
      </c>
      <c r="C10" s="16">
        <v>1.7708333333333332E-3</v>
      </c>
      <c r="D10" s="8" t="s">
        <v>51</v>
      </c>
      <c r="E10" s="8" t="s">
        <v>52</v>
      </c>
      <c r="F10" s="8" t="s">
        <v>53</v>
      </c>
      <c r="G10" s="8" t="s">
        <v>54</v>
      </c>
      <c r="H10" s="9" t="s">
        <v>55</v>
      </c>
      <c r="I10" s="8" t="s">
        <v>56</v>
      </c>
      <c r="J10" s="13">
        <v>0.83510416666666665</v>
      </c>
    </row>
    <row r="11" spans="1:10">
      <c r="A11" s="8"/>
      <c r="B11" s="12">
        <v>45827</v>
      </c>
      <c r="C11" s="16">
        <v>1.9398148148148147E-2</v>
      </c>
      <c r="D11" s="8" t="s">
        <v>57</v>
      </c>
      <c r="E11" s="8" t="s">
        <v>52</v>
      </c>
      <c r="F11" s="8" t="s">
        <v>53</v>
      </c>
      <c r="G11" s="8" t="s">
        <v>54</v>
      </c>
      <c r="H11" s="9" t="s">
        <v>58</v>
      </c>
      <c r="I11" s="8" t="s">
        <v>59</v>
      </c>
      <c r="J11" s="13">
        <v>0.85273148148148148</v>
      </c>
    </row>
    <row r="12" spans="1:10">
      <c r="A12" s="8" t="s">
        <v>60</v>
      </c>
      <c r="B12" s="12">
        <v>45833</v>
      </c>
      <c r="C12" s="16">
        <v>0.39350694444444445</v>
      </c>
      <c r="D12" s="8" t="s">
        <v>61</v>
      </c>
      <c r="E12" s="8" t="s">
        <v>12</v>
      </c>
      <c r="F12" s="8" t="s">
        <v>62</v>
      </c>
      <c r="G12" s="8" t="s">
        <v>63</v>
      </c>
      <c r="H12" s="9" t="s">
        <v>64</v>
      </c>
      <c r="I12" s="8" t="s">
        <v>65</v>
      </c>
      <c r="J12" s="13">
        <v>0.22684027777777779</v>
      </c>
    </row>
    <row r="13" spans="1:10">
      <c r="A13" s="8" t="s">
        <v>66</v>
      </c>
      <c r="B13" s="12">
        <v>45833</v>
      </c>
      <c r="C13" s="16">
        <v>0.41238425925925926</v>
      </c>
      <c r="D13" s="8" t="s">
        <v>67</v>
      </c>
      <c r="E13" s="8" t="s">
        <v>12</v>
      </c>
      <c r="F13" s="8" t="s">
        <v>62</v>
      </c>
      <c r="G13" s="8" t="s">
        <v>63</v>
      </c>
      <c r="H13" s="9" t="s">
        <v>68</v>
      </c>
      <c r="I13" s="8" t="s">
        <v>69</v>
      </c>
      <c r="J13" s="13">
        <v>0.2457175925925926</v>
      </c>
    </row>
    <row r="14" spans="1:10">
      <c r="A14" s="8" t="s">
        <v>70</v>
      </c>
      <c r="B14" s="12">
        <v>45834</v>
      </c>
      <c r="C14" s="16">
        <v>3.2175925925925926E-3</v>
      </c>
      <c r="D14" s="8" t="s">
        <v>71</v>
      </c>
      <c r="E14" s="8" t="s">
        <v>12</v>
      </c>
      <c r="F14" s="8" t="s">
        <v>62</v>
      </c>
      <c r="G14" s="8" t="s">
        <v>63</v>
      </c>
      <c r="H14" s="9" t="s">
        <v>72</v>
      </c>
      <c r="I14" s="8" t="s">
        <v>73</v>
      </c>
      <c r="J14" s="13">
        <v>0.83655092592592595</v>
      </c>
    </row>
    <row r="15" spans="1:10">
      <c r="A15" s="8" t="s">
        <v>74</v>
      </c>
      <c r="B15" s="12">
        <v>45834</v>
      </c>
      <c r="C15" s="16">
        <v>2.630787037037037E-2</v>
      </c>
      <c r="D15" s="8" t="s">
        <v>75</v>
      </c>
      <c r="E15" s="8" t="s">
        <v>12</v>
      </c>
      <c r="F15" s="8" t="s">
        <v>62</v>
      </c>
      <c r="G15" s="8" t="s">
        <v>63</v>
      </c>
      <c r="H15" s="9" t="s">
        <v>76</v>
      </c>
      <c r="I15" s="8" t="s">
        <v>77</v>
      </c>
      <c r="J15" s="13">
        <v>0.85964120370370367</v>
      </c>
    </row>
    <row r="16" spans="1:10">
      <c r="A16" s="8" t="s">
        <v>78</v>
      </c>
      <c r="B16" s="12">
        <v>45839</v>
      </c>
      <c r="C16" s="16">
        <v>0.39490740740740743</v>
      </c>
      <c r="D16" s="8" t="s">
        <v>79</v>
      </c>
      <c r="E16" s="8" t="s">
        <v>12</v>
      </c>
      <c r="F16" s="8" t="s">
        <v>80</v>
      </c>
      <c r="G16" s="8" t="s">
        <v>81</v>
      </c>
      <c r="H16" s="9" t="s">
        <v>82</v>
      </c>
      <c r="I16" s="8" t="s">
        <v>83</v>
      </c>
      <c r="J16" s="13">
        <v>0.22824074074074077</v>
      </c>
    </row>
    <row r="17" spans="1:10">
      <c r="A17" s="8" t="s">
        <v>84</v>
      </c>
      <c r="B17" s="12">
        <v>45839</v>
      </c>
      <c r="C17" s="16">
        <v>0.41671296296296295</v>
      </c>
      <c r="D17" s="8" t="s">
        <v>85</v>
      </c>
      <c r="E17" s="8" t="s">
        <v>12</v>
      </c>
      <c r="F17" s="8" t="s">
        <v>80</v>
      </c>
      <c r="G17" s="8" t="s">
        <v>81</v>
      </c>
      <c r="H17" s="9" t="s">
        <v>86</v>
      </c>
      <c r="I17" s="8" t="s">
        <v>87</v>
      </c>
      <c r="J17" s="13">
        <v>0.25004629629629627</v>
      </c>
    </row>
    <row r="18" spans="1:10">
      <c r="A18" s="8" t="s">
        <v>88</v>
      </c>
      <c r="B18" s="12">
        <v>45840</v>
      </c>
      <c r="C18" s="16">
        <v>0.4007060185185185</v>
      </c>
      <c r="D18" s="8" t="s">
        <v>89</v>
      </c>
      <c r="E18" s="8" t="s">
        <v>12</v>
      </c>
      <c r="F18" s="8" t="s">
        <v>90</v>
      </c>
      <c r="G18" s="8" t="s">
        <v>91</v>
      </c>
      <c r="H18" s="9" t="s">
        <v>92</v>
      </c>
      <c r="I18" s="8" t="s">
        <v>93</v>
      </c>
      <c r="J18" s="13">
        <v>0.23403935185185185</v>
      </c>
    </row>
    <row r="19" spans="1:10">
      <c r="A19" s="8" t="s">
        <v>94</v>
      </c>
      <c r="B19" s="12">
        <v>45840</v>
      </c>
      <c r="C19" s="16">
        <v>0.43434027777777778</v>
      </c>
      <c r="D19" s="8" t="s">
        <v>95</v>
      </c>
      <c r="E19" s="8" t="s">
        <v>12</v>
      </c>
      <c r="F19" s="8" t="s">
        <v>90</v>
      </c>
      <c r="G19" s="8" t="s">
        <v>91</v>
      </c>
      <c r="H19" s="9" t="s">
        <v>96</v>
      </c>
      <c r="I19" s="8" t="s">
        <v>97</v>
      </c>
      <c r="J19" s="13">
        <v>0.2676736111111111</v>
      </c>
    </row>
    <row r="20" spans="1:10">
      <c r="A20" s="8" t="s">
        <v>98</v>
      </c>
      <c r="B20" s="12">
        <v>45841</v>
      </c>
      <c r="C20" s="16">
        <v>1.2800925925925926E-2</v>
      </c>
      <c r="D20" s="8" t="s">
        <v>99</v>
      </c>
      <c r="E20" s="8" t="s">
        <v>12</v>
      </c>
      <c r="F20" s="8" t="s">
        <v>90</v>
      </c>
      <c r="G20" s="8" t="s">
        <v>91</v>
      </c>
      <c r="H20" s="9" t="s">
        <v>100</v>
      </c>
      <c r="I20" s="8" t="s">
        <v>101</v>
      </c>
      <c r="J20" s="13">
        <v>0.84613425925925922</v>
      </c>
    </row>
    <row r="21" spans="1:10">
      <c r="A21" s="8" t="s">
        <v>102</v>
      </c>
      <c r="B21" s="12">
        <v>45841</v>
      </c>
      <c r="C21" s="16">
        <v>2.1585648148148149E-2</v>
      </c>
      <c r="D21" s="8" t="s">
        <v>103</v>
      </c>
      <c r="E21" s="8" t="s">
        <v>12</v>
      </c>
      <c r="F21" s="8" t="s">
        <v>90</v>
      </c>
      <c r="G21" s="8" t="s">
        <v>91</v>
      </c>
      <c r="H21" s="9" t="s">
        <v>104</v>
      </c>
      <c r="I21" s="8" t="s">
        <v>105</v>
      </c>
      <c r="J21" s="13">
        <v>0.85491898148148149</v>
      </c>
    </row>
    <row r="22" spans="1:10">
      <c r="A22" s="8" t="s">
        <v>106</v>
      </c>
      <c r="B22" s="12">
        <v>45845</v>
      </c>
      <c r="C22" s="16">
        <v>0.3803125</v>
      </c>
      <c r="D22" s="8" t="s">
        <v>107</v>
      </c>
      <c r="E22" s="8" t="s">
        <v>12</v>
      </c>
      <c r="F22" s="8" t="s">
        <v>108</v>
      </c>
      <c r="G22" s="8" t="s">
        <v>109</v>
      </c>
      <c r="H22" s="9" t="s">
        <v>110</v>
      </c>
      <c r="I22" s="8" t="s">
        <v>111</v>
      </c>
      <c r="J22" s="13">
        <v>0.21364583333333334</v>
      </c>
    </row>
    <row r="23" spans="1:10">
      <c r="A23" s="8" t="s">
        <v>112</v>
      </c>
      <c r="B23" s="12">
        <v>45845</v>
      </c>
      <c r="C23" s="16">
        <v>0.4082986111111111</v>
      </c>
      <c r="D23" s="8" t="s">
        <v>113</v>
      </c>
      <c r="E23" s="8" t="s">
        <v>12</v>
      </c>
      <c r="F23" s="8" t="s">
        <v>108</v>
      </c>
      <c r="G23" s="8" t="s">
        <v>109</v>
      </c>
      <c r="H23" s="9" t="s">
        <v>114</v>
      </c>
      <c r="I23" s="8" t="s">
        <v>115</v>
      </c>
      <c r="J23" s="13">
        <v>0.24163194444444444</v>
      </c>
    </row>
    <row r="24" spans="1:10">
      <c r="A24" s="8" t="s">
        <v>116</v>
      </c>
      <c r="B24" s="12">
        <v>45846</v>
      </c>
      <c r="C24" s="16">
        <v>0.99895833333333328</v>
      </c>
      <c r="D24" s="8" t="s">
        <v>117</v>
      </c>
      <c r="E24" s="8" t="s">
        <v>12</v>
      </c>
      <c r="F24" s="8" t="s">
        <v>118</v>
      </c>
      <c r="G24" s="8" t="s">
        <v>119</v>
      </c>
      <c r="H24" s="9" t="s">
        <v>120</v>
      </c>
      <c r="I24" s="8" t="s">
        <v>121</v>
      </c>
      <c r="J24" s="13">
        <v>0.83229166666666665</v>
      </c>
    </row>
    <row r="25" spans="1:10">
      <c r="A25" s="8" t="s">
        <v>122</v>
      </c>
      <c r="B25" s="12">
        <v>45847</v>
      </c>
      <c r="C25" s="16">
        <v>2.3020833333333334E-2</v>
      </c>
      <c r="D25" s="8" t="s">
        <v>123</v>
      </c>
      <c r="E25" s="8" t="s">
        <v>12</v>
      </c>
      <c r="F25" s="8" t="s">
        <v>118</v>
      </c>
      <c r="G25" s="8" t="s">
        <v>119</v>
      </c>
      <c r="H25" s="9" t="s">
        <v>124</v>
      </c>
      <c r="I25" s="8" t="s">
        <v>125</v>
      </c>
      <c r="J25" s="13">
        <v>0.85635416666666664</v>
      </c>
    </row>
    <row r="26" spans="1:10">
      <c r="A26" s="8" t="s">
        <v>126</v>
      </c>
      <c r="B26" s="12">
        <v>45847</v>
      </c>
      <c r="C26" s="16">
        <v>0.99902777777777774</v>
      </c>
      <c r="D26" s="8" t="s">
        <v>127</v>
      </c>
      <c r="E26" s="8" t="s">
        <v>12</v>
      </c>
      <c r="F26" s="8" t="s">
        <v>128</v>
      </c>
      <c r="G26" s="8" t="s">
        <v>129</v>
      </c>
      <c r="H26" s="9" t="s">
        <v>130</v>
      </c>
      <c r="I26" s="8" t="s">
        <v>131</v>
      </c>
      <c r="J26" s="13">
        <v>0.83236111111111111</v>
      </c>
    </row>
    <row r="27" spans="1:10">
      <c r="A27" s="8" t="s">
        <v>132</v>
      </c>
      <c r="B27" s="12">
        <v>45848</v>
      </c>
      <c r="C27" s="16">
        <v>2.4537037037037038E-2</v>
      </c>
      <c r="D27" s="8" t="s">
        <v>133</v>
      </c>
      <c r="E27" s="8" t="s">
        <v>12</v>
      </c>
      <c r="F27" s="8" t="s">
        <v>128</v>
      </c>
      <c r="G27" s="8" t="s">
        <v>129</v>
      </c>
      <c r="H27" s="9" t="s">
        <v>134</v>
      </c>
      <c r="I27" s="8" t="s">
        <v>135</v>
      </c>
      <c r="J27" s="13">
        <v>0.85787037037037039</v>
      </c>
    </row>
    <row r="28" spans="1:10">
      <c r="A28" s="8" t="s">
        <v>136</v>
      </c>
      <c r="B28" s="12">
        <v>45852</v>
      </c>
      <c r="C28" s="16">
        <v>0.37359953703703702</v>
      </c>
      <c r="D28" s="8" t="s">
        <v>137</v>
      </c>
      <c r="E28" s="8" t="s">
        <v>12</v>
      </c>
      <c r="F28" s="8" t="s">
        <v>138</v>
      </c>
      <c r="G28" s="8" t="s">
        <v>139</v>
      </c>
      <c r="H28" s="9" t="s">
        <v>140</v>
      </c>
      <c r="I28" s="8" t="s">
        <v>141</v>
      </c>
      <c r="J28" s="13">
        <v>0.20693287037037036</v>
      </c>
    </row>
    <row r="29" spans="1:10">
      <c r="A29" s="8" t="s">
        <v>142</v>
      </c>
      <c r="B29" s="12">
        <v>45852</v>
      </c>
      <c r="C29" s="16">
        <v>0.39447916666666666</v>
      </c>
      <c r="D29" s="8" t="s">
        <v>143</v>
      </c>
      <c r="E29" s="8" t="s">
        <v>12</v>
      </c>
      <c r="F29" s="8" t="s">
        <v>138</v>
      </c>
      <c r="G29" s="8" t="s">
        <v>139</v>
      </c>
      <c r="H29" s="9" t="s">
        <v>144</v>
      </c>
      <c r="I29" s="8" t="s">
        <v>145</v>
      </c>
      <c r="J29" s="13">
        <v>0.2278125</v>
      </c>
    </row>
    <row r="30" spans="1:10">
      <c r="A30" s="8" t="s">
        <v>146</v>
      </c>
      <c r="B30" s="12">
        <v>45852</v>
      </c>
      <c r="C30" s="16">
        <v>0.41048611111111111</v>
      </c>
      <c r="D30" s="8" t="s">
        <v>147</v>
      </c>
      <c r="E30" s="8" t="s">
        <v>12</v>
      </c>
      <c r="F30" s="8" t="s">
        <v>138</v>
      </c>
      <c r="G30" s="8" t="s">
        <v>139</v>
      </c>
      <c r="H30" s="9" t="s">
        <v>148</v>
      </c>
      <c r="I30" s="8" t="s">
        <v>149</v>
      </c>
      <c r="J30" s="13">
        <v>0.24381944444444445</v>
      </c>
    </row>
    <row r="31" spans="1:10">
      <c r="A31" s="8" t="s">
        <v>150</v>
      </c>
      <c r="B31" s="12">
        <v>45855</v>
      </c>
      <c r="C31" s="16">
        <v>0.39905092592592595</v>
      </c>
      <c r="D31" s="8" t="s">
        <v>151</v>
      </c>
      <c r="E31" s="8" t="s">
        <v>12</v>
      </c>
      <c r="F31" s="8" t="s">
        <v>152</v>
      </c>
      <c r="G31" s="8" t="s">
        <v>153</v>
      </c>
      <c r="H31" s="9" t="s">
        <v>154</v>
      </c>
      <c r="I31" s="8" t="s">
        <v>155</v>
      </c>
      <c r="J31" s="13">
        <v>0.23238425925925929</v>
      </c>
    </row>
    <row r="32" spans="1:10">
      <c r="A32" s="8" t="s">
        <v>156</v>
      </c>
      <c r="B32" s="12">
        <v>45855</v>
      </c>
      <c r="C32" s="16">
        <v>0.4135300925925926</v>
      </c>
      <c r="D32" s="8" t="s">
        <v>157</v>
      </c>
      <c r="E32" s="8" t="s">
        <v>12</v>
      </c>
      <c r="F32" s="8" t="s">
        <v>152</v>
      </c>
      <c r="G32" s="8" t="s">
        <v>153</v>
      </c>
      <c r="H32" s="9" t="s">
        <v>158</v>
      </c>
      <c r="I32" s="8" t="s">
        <v>159</v>
      </c>
      <c r="J32" s="13">
        <v>0.24686342592592594</v>
      </c>
    </row>
    <row r="33" spans="1:10">
      <c r="A33" s="8" t="s">
        <v>160</v>
      </c>
      <c r="B33" s="12">
        <v>45855</v>
      </c>
      <c r="C33" s="16">
        <v>0.43394675925925924</v>
      </c>
      <c r="D33" s="8" t="s">
        <v>161</v>
      </c>
      <c r="E33" s="8" t="s">
        <v>12</v>
      </c>
      <c r="F33" s="8" t="s">
        <v>152</v>
      </c>
      <c r="G33" s="8" t="s">
        <v>153</v>
      </c>
      <c r="H33" s="9" t="s">
        <v>162</v>
      </c>
      <c r="I33" s="8" t="s">
        <v>163</v>
      </c>
      <c r="J33" s="13">
        <v>0.26728009259259256</v>
      </c>
    </row>
    <row r="34" spans="1:10">
      <c r="A34" s="8" t="s">
        <v>164</v>
      </c>
      <c r="B34" s="12">
        <v>45859</v>
      </c>
      <c r="C34" s="16">
        <v>0.39836805555555554</v>
      </c>
      <c r="D34" s="8" t="s">
        <v>165</v>
      </c>
      <c r="E34" s="8" t="s">
        <v>12</v>
      </c>
      <c r="F34" s="8" t="s">
        <v>166</v>
      </c>
      <c r="G34" s="8" t="s">
        <v>167</v>
      </c>
      <c r="H34" s="9" t="s">
        <v>168</v>
      </c>
      <c r="I34" s="8" t="s">
        <v>169</v>
      </c>
      <c r="J34" s="13">
        <v>0.23170138888888889</v>
      </c>
    </row>
    <row r="35" spans="1:10">
      <c r="A35" s="8" t="s">
        <v>170</v>
      </c>
      <c r="B35" s="12">
        <v>45859</v>
      </c>
      <c r="C35" s="16">
        <v>0.41402777777777777</v>
      </c>
      <c r="D35" s="8" t="s">
        <v>171</v>
      </c>
      <c r="E35" s="8" t="s">
        <v>12</v>
      </c>
      <c r="F35" s="8" t="s">
        <v>166</v>
      </c>
      <c r="G35" s="8" t="s">
        <v>167</v>
      </c>
      <c r="H35" s="9" t="s">
        <v>172</v>
      </c>
      <c r="I35" s="8" t="s">
        <v>173</v>
      </c>
      <c r="J35" s="13">
        <v>0.24736111111111111</v>
      </c>
    </row>
    <row r="36" spans="1:10">
      <c r="A36" s="8" t="s">
        <v>174</v>
      </c>
      <c r="B36" s="12">
        <v>45861</v>
      </c>
      <c r="C36" s="16">
        <v>2.8171296296296295E-2</v>
      </c>
      <c r="D36" s="8" t="s">
        <v>175</v>
      </c>
      <c r="E36" s="8" t="s">
        <v>12</v>
      </c>
      <c r="F36" s="8" t="s">
        <v>176</v>
      </c>
      <c r="G36" s="8" t="s">
        <v>177</v>
      </c>
      <c r="H36" s="9" t="s">
        <v>178</v>
      </c>
      <c r="I36" s="8" t="s">
        <v>179</v>
      </c>
      <c r="J36" s="13">
        <v>0.86150462962962959</v>
      </c>
    </row>
    <row r="37" spans="1:10">
      <c r="A37" s="8"/>
      <c r="B37" s="12">
        <v>45861</v>
      </c>
      <c r="C37" s="16">
        <v>5.527777777777778E-2</v>
      </c>
      <c r="D37" s="8" t="s">
        <v>180</v>
      </c>
      <c r="E37" s="8" t="s">
        <v>12</v>
      </c>
      <c r="F37" s="8" t="s">
        <v>176</v>
      </c>
      <c r="G37" s="8" t="s">
        <v>177</v>
      </c>
      <c r="H37" s="9" t="s">
        <v>181</v>
      </c>
      <c r="I37" s="8" t="s">
        <v>182</v>
      </c>
      <c r="J37" s="13">
        <v>0.88861111111111113</v>
      </c>
    </row>
    <row r="38" spans="1:10">
      <c r="A38" s="8" t="s">
        <v>183</v>
      </c>
      <c r="B38" s="12">
        <v>45861</v>
      </c>
      <c r="C38" s="16">
        <v>5.6203703703703707E-2</v>
      </c>
      <c r="D38" s="8" t="s">
        <v>180</v>
      </c>
      <c r="E38" s="8" t="s">
        <v>12</v>
      </c>
      <c r="F38" s="8" t="s">
        <v>176</v>
      </c>
      <c r="G38" s="8" t="s">
        <v>177</v>
      </c>
      <c r="H38" s="9" t="s">
        <v>184</v>
      </c>
      <c r="I38" s="8" t="s">
        <v>185</v>
      </c>
      <c r="J38" s="13">
        <v>0.88953703703703701</v>
      </c>
    </row>
    <row r="39" spans="1:10">
      <c r="A39" s="8" t="s">
        <v>186</v>
      </c>
      <c r="B39" s="12">
        <v>45862</v>
      </c>
      <c r="C39" s="16">
        <v>7.1412037037037034E-3</v>
      </c>
      <c r="D39" s="8" t="s">
        <v>187</v>
      </c>
      <c r="E39" s="8" t="s">
        <v>12</v>
      </c>
      <c r="F39" s="8" t="s">
        <v>188</v>
      </c>
      <c r="G39" s="8" t="s">
        <v>189</v>
      </c>
      <c r="H39" s="9" t="s">
        <v>190</v>
      </c>
      <c r="I39" s="8" t="s">
        <v>191</v>
      </c>
      <c r="J39" s="13">
        <v>0.84047453703703701</v>
      </c>
    </row>
    <row r="40" spans="1:10">
      <c r="A40" s="8" t="s">
        <v>192</v>
      </c>
      <c r="B40" s="12">
        <v>45862</v>
      </c>
      <c r="C40" s="16">
        <v>1.8831018518518518E-2</v>
      </c>
      <c r="D40" s="8" t="s">
        <v>193</v>
      </c>
      <c r="E40" s="8" t="s">
        <v>12</v>
      </c>
      <c r="F40" s="8" t="s">
        <v>188</v>
      </c>
      <c r="G40" s="8" t="s">
        <v>189</v>
      </c>
      <c r="H40" s="9" t="s">
        <v>194</v>
      </c>
      <c r="I40" s="8" t="s">
        <v>195</v>
      </c>
      <c r="J40" s="13">
        <v>0.8521643518518518</v>
      </c>
    </row>
    <row r="41" spans="1:10">
      <c r="A41" s="8" t="s">
        <v>196</v>
      </c>
      <c r="B41" s="12">
        <v>45866</v>
      </c>
      <c r="C41" s="16">
        <v>0.38476851851851851</v>
      </c>
      <c r="D41" s="8" t="s">
        <v>197</v>
      </c>
      <c r="E41" s="8" t="s">
        <v>12</v>
      </c>
      <c r="F41" s="8" t="s">
        <v>198</v>
      </c>
      <c r="G41" s="8" t="s">
        <v>199</v>
      </c>
      <c r="H41" s="9" t="s">
        <v>200</v>
      </c>
      <c r="I41" s="8" t="s">
        <v>201</v>
      </c>
      <c r="J41" s="13">
        <v>0.21810185185185185</v>
      </c>
    </row>
    <row r="42" spans="1:10">
      <c r="A42" s="8" t="s">
        <v>202</v>
      </c>
      <c r="B42" s="12">
        <v>45866</v>
      </c>
      <c r="C42" s="16">
        <v>0.40133101851851855</v>
      </c>
      <c r="D42" s="8" t="s">
        <v>203</v>
      </c>
      <c r="E42" s="8" t="s">
        <v>12</v>
      </c>
      <c r="F42" s="8" t="s">
        <v>198</v>
      </c>
      <c r="G42" s="8" t="s">
        <v>199</v>
      </c>
      <c r="H42" s="9" t="s">
        <v>204</v>
      </c>
      <c r="I42" s="8" t="s">
        <v>205</v>
      </c>
      <c r="J42" s="13">
        <v>0.23466435185185189</v>
      </c>
    </row>
    <row r="43" spans="1:10">
      <c r="A43" s="8" t="s">
        <v>206</v>
      </c>
      <c r="B43" s="12">
        <v>45866</v>
      </c>
      <c r="C43" s="16">
        <v>0.41752314814814817</v>
      </c>
      <c r="D43" s="8" t="s">
        <v>207</v>
      </c>
      <c r="E43" s="8" t="s">
        <v>12</v>
      </c>
      <c r="F43" s="8" t="s">
        <v>198</v>
      </c>
      <c r="G43" s="8" t="s">
        <v>199</v>
      </c>
      <c r="H43" s="9" t="s">
        <v>208</v>
      </c>
      <c r="I43" s="8" t="s">
        <v>209</v>
      </c>
      <c r="J43" s="13">
        <v>0.25085648148148154</v>
      </c>
    </row>
    <row r="44" spans="1:10">
      <c r="A44" s="8" t="s">
        <v>210</v>
      </c>
      <c r="B44" s="12">
        <v>45868</v>
      </c>
      <c r="C44" s="16">
        <v>0.99567129629629625</v>
      </c>
      <c r="D44" s="8" t="s">
        <v>211</v>
      </c>
      <c r="E44" s="8" t="s">
        <v>12</v>
      </c>
      <c r="F44" s="8" t="s">
        <v>212</v>
      </c>
      <c r="G44" s="8" t="s">
        <v>213</v>
      </c>
      <c r="H44" s="9" t="s">
        <v>214</v>
      </c>
      <c r="I44" s="8" t="s">
        <v>215</v>
      </c>
      <c r="J44" s="13">
        <v>0.82900462962962962</v>
      </c>
    </row>
    <row r="45" spans="1:10">
      <c r="A45" s="8" t="s">
        <v>216</v>
      </c>
      <c r="B45" s="12">
        <v>45869</v>
      </c>
      <c r="C45" s="16">
        <v>8.9583333333333338E-3</v>
      </c>
      <c r="D45" s="8" t="s">
        <v>217</v>
      </c>
      <c r="E45" s="8" t="s">
        <v>12</v>
      </c>
      <c r="F45" s="8" t="s">
        <v>212</v>
      </c>
      <c r="G45" s="8" t="s">
        <v>213</v>
      </c>
      <c r="H45" s="9" t="s">
        <v>218</v>
      </c>
      <c r="I45" s="8" t="s">
        <v>219</v>
      </c>
      <c r="J45" s="13">
        <v>0.84229166666666666</v>
      </c>
    </row>
    <row r="46" spans="1:10">
      <c r="A46" s="8" t="s">
        <v>220</v>
      </c>
      <c r="B46" s="12">
        <v>45869</v>
      </c>
      <c r="C46" s="16">
        <v>2.585648148148148E-2</v>
      </c>
      <c r="D46" s="8" t="s">
        <v>221</v>
      </c>
      <c r="E46" s="8" t="s">
        <v>12</v>
      </c>
      <c r="F46" s="8" t="s">
        <v>212</v>
      </c>
      <c r="G46" s="8" t="s">
        <v>213</v>
      </c>
      <c r="H46" s="9" t="s">
        <v>222</v>
      </c>
      <c r="I46" s="8" t="s">
        <v>223</v>
      </c>
      <c r="J46" s="13">
        <v>0.85918981481481482</v>
      </c>
    </row>
    <row r="47" spans="1:10">
      <c r="A47" s="8" t="s">
        <v>224</v>
      </c>
      <c r="B47" s="12">
        <v>45873</v>
      </c>
      <c r="C47" s="13">
        <v>0.37950231481481483</v>
      </c>
      <c r="D47" s="8" t="s">
        <v>225</v>
      </c>
      <c r="E47" s="8" t="s">
        <v>12</v>
      </c>
      <c r="F47" s="8" t="s">
        <v>226</v>
      </c>
      <c r="G47" s="8" t="s">
        <v>227</v>
      </c>
      <c r="H47" s="9" t="s">
        <v>228</v>
      </c>
      <c r="I47" s="8" t="s">
        <v>229</v>
      </c>
      <c r="J47" s="13">
        <v>0.21283564814814818</v>
      </c>
    </row>
    <row r="48" spans="1:10">
      <c r="A48" s="8" t="s">
        <v>230</v>
      </c>
      <c r="B48" s="12">
        <v>45873</v>
      </c>
      <c r="C48" s="13">
        <v>0.39327546296296295</v>
      </c>
      <c r="D48" s="8" t="s">
        <v>231</v>
      </c>
      <c r="E48" s="8" t="s">
        <v>12</v>
      </c>
      <c r="F48" s="8" t="s">
        <v>226</v>
      </c>
      <c r="G48" s="8" t="s">
        <v>227</v>
      </c>
      <c r="H48" s="9" t="s">
        <v>232</v>
      </c>
      <c r="I48" s="8" t="s">
        <v>233</v>
      </c>
      <c r="J48" s="13">
        <v>0.22660879629629629</v>
      </c>
    </row>
    <row r="49" spans="1:10">
      <c r="A49" s="8" t="s">
        <v>234</v>
      </c>
      <c r="B49" s="12">
        <v>45873</v>
      </c>
      <c r="C49" s="13">
        <v>0.40591435185185187</v>
      </c>
      <c r="D49" s="8" t="s">
        <v>235</v>
      </c>
      <c r="E49" s="8" t="s">
        <v>12</v>
      </c>
      <c r="F49" s="8" t="s">
        <v>226</v>
      </c>
      <c r="G49" s="8" t="s">
        <v>227</v>
      </c>
      <c r="H49" s="9" t="s">
        <v>236</v>
      </c>
      <c r="I49" s="8" t="s">
        <v>237</v>
      </c>
      <c r="J49" s="13">
        <v>0.23924768518518522</v>
      </c>
    </row>
    <row r="50" spans="1:10">
      <c r="A50" s="8" t="s">
        <v>238</v>
      </c>
      <c r="B50" s="12">
        <v>45875</v>
      </c>
      <c r="C50" s="13">
        <v>0.99299768518518516</v>
      </c>
      <c r="D50" s="8" t="s">
        <v>239</v>
      </c>
      <c r="E50" s="8" t="s">
        <v>12</v>
      </c>
      <c r="F50" s="8" t="s">
        <v>240</v>
      </c>
      <c r="G50" s="8" t="s">
        <v>241</v>
      </c>
      <c r="H50" s="9" t="s">
        <v>242</v>
      </c>
      <c r="I50" s="8" t="s">
        <v>243</v>
      </c>
      <c r="J50" s="13">
        <v>0.82633101851851853</v>
      </c>
    </row>
    <row r="51" spans="1:10">
      <c r="A51" s="8" t="s">
        <v>244</v>
      </c>
      <c r="B51" s="12">
        <v>45876</v>
      </c>
      <c r="C51" s="13">
        <v>4.363425925925926E-3</v>
      </c>
      <c r="D51" s="8" t="s">
        <v>245</v>
      </c>
      <c r="E51" s="8" t="s">
        <v>12</v>
      </c>
      <c r="F51" s="8" t="s">
        <v>240</v>
      </c>
      <c r="G51" s="8" t="s">
        <v>241</v>
      </c>
      <c r="H51" s="9" t="s">
        <v>246</v>
      </c>
      <c r="I51" s="8" t="s">
        <v>233</v>
      </c>
      <c r="J51" s="13">
        <v>0.83769675925925924</v>
      </c>
    </row>
    <row r="52" spans="1:10">
      <c r="A52" s="8" t="s">
        <v>247</v>
      </c>
      <c r="B52" s="12">
        <v>45876</v>
      </c>
      <c r="C52" s="13">
        <v>1.7002314814814814E-2</v>
      </c>
      <c r="D52" s="8" t="s">
        <v>248</v>
      </c>
      <c r="E52" s="8" t="s">
        <v>12</v>
      </c>
      <c r="F52" s="8" t="s">
        <v>240</v>
      </c>
      <c r="G52" s="8" t="s">
        <v>241</v>
      </c>
      <c r="H52" s="9" t="s">
        <v>249</v>
      </c>
      <c r="I52" s="8" t="s">
        <v>250</v>
      </c>
      <c r="J52" s="13">
        <v>0.8503356481481481</v>
      </c>
    </row>
    <row r="53" spans="1:10">
      <c r="A53" s="8" t="s">
        <v>251</v>
      </c>
      <c r="B53" s="12">
        <v>45880</v>
      </c>
      <c r="C53" s="13">
        <v>0.39473379629629629</v>
      </c>
      <c r="D53" s="8" t="s">
        <v>252</v>
      </c>
      <c r="E53" s="8" t="s">
        <v>12</v>
      </c>
      <c r="F53" s="8" t="s">
        <v>253</v>
      </c>
      <c r="G53" s="8" t="s">
        <v>254</v>
      </c>
      <c r="H53" s="9" t="s">
        <v>255</v>
      </c>
      <c r="I53" s="8" t="s">
        <v>256</v>
      </c>
      <c r="J53" s="13">
        <v>0.22806712962962963</v>
      </c>
    </row>
    <row r="54" spans="1:10">
      <c r="A54" s="8" t="s">
        <v>257</v>
      </c>
      <c r="B54" s="12">
        <v>45880</v>
      </c>
      <c r="C54" s="13">
        <v>0.41792824074074075</v>
      </c>
      <c r="D54" s="8" t="s">
        <v>258</v>
      </c>
      <c r="E54" s="8" t="s">
        <v>12</v>
      </c>
      <c r="F54" s="8" t="s">
        <v>253</v>
      </c>
      <c r="G54" s="8" t="s">
        <v>254</v>
      </c>
      <c r="H54" s="9" t="s">
        <v>259</v>
      </c>
      <c r="I54" s="8" t="s">
        <v>260</v>
      </c>
      <c r="J54" s="13">
        <v>0.25126157407407412</v>
      </c>
    </row>
    <row r="55" spans="1:10">
      <c r="A55" s="8" t="s">
        <v>261</v>
      </c>
      <c r="B55" s="12">
        <v>45880</v>
      </c>
      <c r="C55" s="13">
        <v>0.43983796296296296</v>
      </c>
      <c r="D55" s="8" t="s">
        <v>262</v>
      </c>
      <c r="E55" s="8" t="s">
        <v>12</v>
      </c>
      <c r="F55" s="8" t="s">
        <v>253</v>
      </c>
      <c r="G55" s="8" t="s">
        <v>254</v>
      </c>
      <c r="H55" s="9" t="s">
        <v>263</v>
      </c>
      <c r="I55" s="8" t="s">
        <v>264</v>
      </c>
      <c r="J55" s="13">
        <v>0.27317129629629633</v>
      </c>
    </row>
    <row r="56" spans="1:10">
      <c r="A56" s="8" t="s">
        <v>265</v>
      </c>
      <c r="B56" s="12">
        <v>45882</v>
      </c>
      <c r="C56" s="13">
        <v>0.99436342592592597</v>
      </c>
      <c r="D56" s="8" t="s">
        <v>266</v>
      </c>
      <c r="E56" s="8" t="s">
        <v>12</v>
      </c>
      <c r="F56" s="8" t="s">
        <v>267</v>
      </c>
      <c r="G56" s="8" t="s">
        <v>268</v>
      </c>
      <c r="H56" s="9" t="s">
        <v>269</v>
      </c>
      <c r="I56" s="8" t="s">
        <v>111</v>
      </c>
      <c r="J56" s="13">
        <v>0.82769675925925934</v>
      </c>
    </row>
    <row r="57" spans="1:10">
      <c r="A57" s="8" t="s">
        <v>270</v>
      </c>
      <c r="B57" s="12">
        <v>45883</v>
      </c>
      <c r="C57" s="13">
        <v>1.7662037037037039E-2</v>
      </c>
      <c r="D57" s="8" t="s">
        <v>271</v>
      </c>
      <c r="E57" s="8" t="s">
        <v>12</v>
      </c>
      <c r="F57" s="8" t="s">
        <v>267</v>
      </c>
      <c r="G57" s="8" t="s">
        <v>268</v>
      </c>
      <c r="H57" s="9" t="s">
        <v>272</v>
      </c>
      <c r="I57" s="8" t="s">
        <v>273</v>
      </c>
      <c r="J57" s="13">
        <v>0.85099537037037032</v>
      </c>
    </row>
    <row r="58" spans="1:10">
      <c r="A58" s="8" t="s">
        <v>274</v>
      </c>
      <c r="B58" s="12">
        <v>45883</v>
      </c>
      <c r="C58" s="13">
        <v>3.8229166666666668E-2</v>
      </c>
      <c r="D58" s="8" t="s">
        <v>275</v>
      </c>
      <c r="E58" s="8" t="s">
        <v>12</v>
      </c>
      <c r="F58" s="8" t="s">
        <v>267</v>
      </c>
      <c r="G58" s="8" t="s">
        <v>268</v>
      </c>
      <c r="H58" s="9" t="s">
        <v>276</v>
      </c>
      <c r="I58" s="8" t="s">
        <v>277</v>
      </c>
      <c r="J58" s="13">
        <v>0.87156250000000002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2E23-8AAF-43EB-BCE9-9F59ED31B8BE}">
  <dimension ref="A1:S61"/>
  <sheetViews>
    <sheetView topLeftCell="E1" workbookViewId="0">
      <selection activeCell="P1" sqref="P1"/>
    </sheetView>
  </sheetViews>
  <sheetFormatPr defaultRowHeight="12.75"/>
  <cols>
    <col min="1" max="2" width="18.42578125" customWidth="1"/>
    <col min="3" max="3" width="18.42578125" style="31" customWidth="1"/>
    <col min="4" max="4" width="18.42578125" customWidth="1"/>
    <col min="5" max="5" width="16.7109375" customWidth="1"/>
    <col min="6" max="6" width="24.5703125" style="15" customWidth="1"/>
    <col min="7" max="7" width="24.5703125" style="20" customWidth="1"/>
    <col min="8" max="8" width="22.7109375" style="21" customWidth="1"/>
    <col min="9" max="9" width="22.7109375" customWidth="1"/>
    <col min="10" max="10" width="17.85546875" bestFit="1" customWidth="1"/>
    <col min="11" max="11" width="18.140625" bestFit="1" customWidth="1"/>
    <col min="12" max="12" width="19.28515625" bestFit="1" customWidth="1"/>
    <col min="13" max="13" width="19.28515625" customWidth="1"/>
    <col min="14" max="14" width="21.140625" bestFit="1" customWidth="1"/>
    <col min="15" max="15" width="28" bestFit="1" customWidth="1"/>
    <col min="16" max="16" width="42" bestFit="1" customWidth="1"/>
    <col min="17" max="17" width="19.140625" customWidth="1"/>
    <col min="18" max="18" width="17.5703125" customWidth="1"/>
    <col min="19" max="19" width="44.140625" customWidth="1"/>
  </cols>
  <sheetData>
    <row r="1" spans="1:19" s="10" customFormat="1">
      <c r="A1" s="10" t="s">
        <v>3</v>
      </c>
      <c r="B1" s="10" t="s">
        <v>278</v>
      </c>
      <c r="C1" s="28" t="s">
        <v>279</v>
      </c>
      <c r="D1" s="10" t="s">
        <v>280</v>
      </c>
      <c r="E1" s="10" t="s">
        <v>281</v>
      </c>
      <c r="F1" s="14" t="s">
        <v>282</v>
      </c>
      <c r="G1" s="19" t="s">
        <v>283</v>
      </c>
      <c r="H1" s="22" t="s">
        <v>284</v>
      </c>
      <c r="I1" s="24" t="s">
        <v>285</v>
      </c>
      <c r="J1" s="10" t="s">
        <v>286</v>
      </c>
      <c r="K1" s="10" t="s">
        <v>287</v>
      </c>
      <c r="L1" s="11" t="s">
        <v>288</v>
      </c>
      <c r="M1" s="11" t="s">
        <v>289</v>
      </c>
      <c r="N1" s="10" t="s">
        <v>290</v>
      </c>
      <c r="O1" s="10" t="s">
        <v>291</v>
      </c>
      <c r="P1" s="10" t="s">
        <v>292</v>
      </c>
      <c r="Q1" s="10" t="s">
        <v>7</v>
      </c>
      <c r="R1" s="10" t="s">
        <v>8</v>
      </c>
      <c r="S1" s="10" t="s">
        <v>293</v>
      </c>
    </row>
    <row r="2" spans="1:19">
      <c r="A2" s="8" t="s">
        <v>294</v>
      </c>
      <c r="B2" s="8" t="s">
        <v>295</v>
      </c>
      <c r="C2" s="29">
        <v>1</v>
      </c>
      <c r="D2" s="8" t="s">
        <v>296</v>
      </c>
      <c r="E2" s="12">
        <v>45811</v>
      </c>
      <c r="F2" s="13">
        <v>0.2472222222222222</v>
      </c>
      <c r="G2" s="20">
        <v>45812</v>
      </c>
      <c r="H2" s="21">
        <v>0.48541666666666666</v>
      </c>
      <c r="I2">
        <v>1</v>
      </c>
      <c r="J2">
        <v>3</v>
      </c>
      <c r="K2">
        <v>6</v>
      </c>
      <c r="L2" s="17">
        <v>0.30277777777777776</v>
      </c>
      <c r="M2" s="17">
        <f>L2-F2</f>
        <v>5.5555555555555552E-2</v>
      </c>
      <c r="N2" t="s">
        <v>297</v>
      </c>
      <c r="O2" t="s">
        <v>298</v>
      </c>
      <c r="P2" t="s">
        <v>299</v>
      </c>
      <c r="Q2" s="9" t="s">
        <v>15</v>
      </c>
      <c r="R2" s="8" t="s">
        <v>16</v>
      </c>
    </row>
    <row r="3" spans="1:19">
      <c r="A3" s="8" t="s">
        <v>294</v>
      </c>
      <c r="B3" s="8" t="s">
        <v>300</v>
      </c>
      <c r="C3" s="29">
        <v>0</v>
      </c>
      <c r="D3" s="8" t="s">
        <v>301</v>
      </c>
      <c r="E3" s="12">
        <v>45812</v>
      </c>
      <c r="F3" s="13">
        <v>0.84608796296296296</v>
      </c>
      <c r="G3" s="20">
        <v>45813</v>
      </c>
      <c r="H3" s="23">
        <v>0.85972222222222228</v>
      </c>
      <c r="I3" s="8">
        <v>0</v>
      </c>
      <c r="J3" t="s">
        <v>302</v>
      </c>
      <c r="K3" t="s">
        <v>302</v>
      </c>
      <c r="L3" t="s">
        <v>302</v>
      </c>
      <c r="N3" t="s">
        <v>302</v>
      </c>
      <c r="O3" t="s">
        <v>302</v>
      </c>
      <c r="P3" t="s">
        <v>299</v>
      </c>
      <c r="Q3" s="9" t="s">
        <v>21</v>
      </c>
      <c r="R3" s="8" t="s">
        <v>22</v>
      </c>
    </row>
    <row r="4" spans="1:19">
      <c r="A4" s="8" t="s">
        <v>294</v>
      </c>
      <c r="B4" s="8" t="s">
        <v>295</v>
      </c>
      <c r="C4" s="29">
        <v>1</v>
      </c>
      <c r="D4" s="8" t="s">
        <v>296</v>
      </c>
      <c r="E4" s="12">
        <v>45812</v>
      </c>
      <c r="F4" s="13">
        <v>0.87077546296296293</v>
      </c>
      <c r="G4" s="20">
        <v>45813</v>
      </c>
      <c r="H4" s="23">
        <v>0.75555555555555554</v>
      </c>
      <c r="I4" s="8">
        <v>1</v>
      </c>
      <c r="J4">
        <v>5</v>
      </c>
      <c r="K4">
        <v>6</v>
      </c>
      <c r="L4" s="17">
        <v>0.51527777777777772</v>
      </c>
      <c r="M4" s="17">
        <v>0.64513888888888893</v>
      </c>
      <c r="N4" t="s">
        <v>297</v>
      </c>
      <c r="O4" t="s">
        <v>303</v>
      </c>
      <c r="P4" t="s">
        <v>299</v>
      </c>
      <c r="Q4" s="9" t="s">
        <v>25</v>
      </c>
      <c r="R4" s="8" t="s">
        <v>26</v>
      </c>
    </row>
    <row r="5" spans="1:19">
      <c r="A5" s="8" t="s">
        <v>294</v>
      </c>
      <c r="B5" s="8" t="s">
        <v>304</v>
      </c>
      <c r="C5" s="29">
        <v>0</v>
      </c>
      <c r="D5" s="8" t="s">
        <v>296</v>
      </c>
      <c r="E5" s="12">
        <v>45817</v>
      </c>
      <c r="F5" s="13">
        <v>0.22686342592592593</v>
      </c>
      <c r="G5" s="20">
        <v>45818</v>
      </c>
      <c r="H5" s="21">
        <v>0.33263888888888887</v>
      </c>
      <c r="I5">
        <v>0</v>
      </c>
      <c r="J5" t="s">
        <v>302</v>
      </c>
      <c r="K5" t="s">
        <v>302</v>
      </c>
      <c r="L5" t="s">
        <v>302</v>
      </c>
      <c r="N5" t="s">
        <v>302</v>
      </c>
      <c r="O5" t="s">
        <v>302</v>
      </c>
      <c r="P5" t="s">
        <v>305</v>
      </c>
      <c r="Q5" s="9" t="s">
        <v>31</v>
      </c>
      <c r="R5" s="8" t="s">
        <v>32</v>
      </c>
      <c r="S5" t="s">
        <v>306</v>
      </c>
    </row>
    <row r="6" spans="1:19">
      <c r="A6" s="8" t="s">
        <v>294</v>
      </c>
      <c r="B6" s="8" t="s">
        <v>307</v>
      </c>
      <c r="C6" s="29">
        <v>1</v>
      </c>
      <c r="D6" s="8" t="s">
        <v>301</v>
      </c>
      <c r="E6" s="12">
        <v>45817</v>
      </c>
      <c r="F6" s="13">
        <v>0.24476851851851852</v>
      </c>
      <c r="G6" s="20">
        <v>45818</v>
      </c>
      <c r="H6" s="21">
        <v>0.34513888888888888</v>
      </c>
      <c r="I6">
        <v>0</v>
      </c>
      <c r="J6" t="s">
        <v>302</v>
      </c>
      <c r="K6" t="s">
        <v>302</v>
      </c>
      <c r="L6" t="s">
        <v>302</v>
      </c>
      <c r="N6" t="s">
        <v>302</v>
      </c>
      <c r="O6" t="s">
        <v>302</v>
      </c>
      <c r="P6" t="s">
        <v>308</v>
      </c>
      <c r="Q6" s="9" t="s">
        <v>35</v>
      </c>
      <c r="R6" s="8" t="s">
        <v>36</v>
      </c>
      <c r="S6" t="s">
        <v>309</v>
      </c>
    </row>
    <row r="7" spans="1:19">
      <c r="A7" s="8" t="s">
        <v>294</v>
      </c>
      <c r="B7" s="8" t="s">
        <v>307</v>
      </c>
      <c r="C7" s="29">
        <v>1</v>
      </c>
      <c r="D7" s="8" t="s">
        <v>301</v>
      </c>
      <c r="E7" s="12">
        <v>45819</v>
      </c>
      <c r="F7" s="13">
        <v>0.84761574074074075</v>
      </c>
      <c r="G7" s="20">
        <v>45820</v>
      </c>
      <c r="H7" s="23">
        <v>0.86388888888888893</v>
      </c>
      <c r="I7" s="8">
        <v>0</v>
      </c>
      <c r="J7" t="s">
        <v>302</v>
      </c>
      <c r="K7" t="s">
        <v>302</v>
      </c>
      <c r="L7" t="s">
        <v>302</v>
      </c>
      <c r="N7" t="s">
        <v>302</v>
      </c>
      <c r="O7" t="s">
        <v>302</v>
      </c>
      <c r="P7" t="s">
        <v>299</v>
      </c>
      <c r="Q7" s="9" t="s">
        <v>40</v>
      </c>
      <c r="R7" s="8" t="s">
        <v>41</v>
      </c>
    </row>
    <row r="8" spans="1:19">
      <c r="A8" s="8" t="s">
        <v>294</v>
      </c>
      <c r="B8" s="8" t="s">
        <v>304</v>
      </c>
      <c r="C8" s="29">
        <v>0</v>
      </c>
      <c r="D8" s="8" t="s">
        <v>296</v>
      </c>
      <c r="E8" s="12">
        <v>45819</v>
      </c>
      <c r="F8" s="13">
        <v>0.86826388888888884</v>
      </c>
      <c r="G8" s="20">
        <v>45820</v>
      </c>
      <c r="H8" s="23">
        <v>0.87708333333333333</v>
      </c>
      <c r="I8" s="8">
        <v>0</v>
      </c>
      <c r="J8" t="s">
        <v>302</v>
      </c>
      <c r="K8" t="s">
        <v>302</v>
      </c>
      <c r="L8" t="s">
        <v>302</v>
      </c>
      <c r="N8" t="s">
        <v>302</v>
      </c>
      <c r="O8" t="s">
        <v>302</v>
      </c>
      <c r="P8" t="s">
        <v>299</v>
      </c>
      <c r="Q8" s="9" t="s">
        <v>43</v>
      </c>
      <c r="R8" s="8" t="s">
        <v>44</v>
      </c>
    </row>
    <row r="9" spans="1:19" ht="13.5" customHeight="1">
      <c r="A9" s="8" t="s">
        <v>294</v>
      </c>
      <c r="B9" s="8" t="s">
        <v>310</v>
      </c>
      <c r="C9" s="29">
        <v>2</v>
      </c>
      <c r="D9" s="8" t="s">
        <v>296</v>
      </c>
      <c r="E9" s="12">
        <v>45824</v>
      </c>
      <c r="F9" s="13">
        <v>0.23118055555555558</v>
      </c>
      <c r="G9" s="20">
        <v>45825</v>
      </c>
      <c r="H9" s="21">
        <v>0.6069444444444444</v>
      </c>
      <c r="I9">
        <v>0</v>
      </c>
      <c r="J9" t="s">
        <v>302</v>
      </c>
      <c r="K9" t="s">
        <v>302</v>
      </c>
      <c r="L9" t="s">
        <v>302</v>
      </c>
      <c r="N9" t="s">
        <v>302</v>
      </c>
      <c r="O9" t="s">
        <v>302</v>
      </c>
      <c r="P9" t="s">
        <v>299</v>
      </c>
      <c r="Q9" s="9" t="s">
        <v>49</v>
      </c>
      <c r="R9" s="8" t="s">
        <v>50</v>
      </c>
    </row>
    <row r="10" spans="1:19">
      <c r="A10" s="8" t="s">
        <v>294</v>
      </c>
      <c r="B10" s="8" t="s">
        <v>311</v>
      </c>
      <c r="C10" s="29">
        <v>0</v>
      </c>
      <c r="D10" s="8" t="s">
        <v>312</v>
      </c>
      <c r="E10" s="12">
        <v>45824</v>
      </c>
      <c r="F10" s="13">
        <v>0.21805555555555556</v>
      </c>
      <c r="G10" s="20">
        <v>45825</v>
      </c>
      <c r="H10" s="21">
        <v>0.59583333333333333</v>
      </c>
      <c r="I10">
        <v>1</v>
      </c>
      <c r="J10" t="s">
        <v>297</v>
      </c>
      <c r="K10" t="s">
        <v>297</v>
      </c>
      <c r="L10" t="s">
        <v>297</v>
      </c>
      <c r="N10" t="s">
        <v>297</v>
      </c>
      <c r="O10" t="s">
        <v>297</v>
      </c>
      <c r="P10" t="s">
        <v>299</v>
      </c>
      <c r="Q10" s="9" t="s">
        <v>302</v>
      </c>
      <c r="R10" s="8" t="s">
        <v>302</v>
      </c>
      <c r="S10" t="s">
        <v>313</v>
      </c>
    </row>
    <row r="11" spans="1:19">
      <c r="A11" s="8" t="s">
        <v>294</v>
      </c>
      <c r="B11" s="8" t="s">
        <v>311</v>
      </c>
      <c r="C11" s="29">
        <v>0</v>
      </c>
      <c r="D11" s="8" t="s">
        <v>312</v>
      </c>
      <c r="E11" s="12">
        <v>45826</v>
      </c>
      <c r="F11" s="13">
        <v>0.83510416666666665</v>
      </c>
      <c r="G11" s="20">
        <v>45827</v>
      </c>
      <c r="H11" s="23">
        <v>0.83888888888888891</v>
      </c>
      <c r="I11" s="8">
        <v>1</v>
      </c>
      <c r="J11" t="s">
        <v>297</v>
      </c>
      <c r="K11" t="s">
        <v>297</v>
      </c>
      <c r="L11" t="s">
        <v>297</v>
      </c>
      <c r="N11" t="s">
        <v>314</v>
      </c>
      <c r="O11" t="s">
        <v>297</v>
      </c>
      <c r="P11" t="s">
        <v>315</v>
      </c>
      <c r="Q11" s="9" t="s">
        <v>55</v>
      </c>
      <c r="R11" s="8" t="s">
        <v>56</v>
      </c>
      <c r="S11" t="s">
        <v>316</v>
      </c>
    </row>
    <row r="12" spans="1:19">
      <c r="A12" s="8" t="s">
        <v>294</v>
      </c>
      <c r="B12" s="8" t="s">
        <v>310</v>
      </c>
      <c r="C12" s="29">
        <v>2</v>
      </c>
      <c r="D12" s="8" t="s">
        <v>296</v>
      </c>
      <c r="E12" s="12">
        <v>45826</v>
      </c>
      <c r="F12" s="13">
        <v>0.85273148148148148</v>
      </c>
      <c r="G12" s="20">
        <v>45827</v>
      </c>
      <c r="H12" s="23">
        <v>0.85347222222222219</v>
      </c>
      <c r="I12" s="8">
        <v>0</v>
      </c>
      <c r="J12" t="s">
        <v>302</v>
      </c>
      <c r="K12" t="s">
        <v>302</v>
      </c>
      <c r="L12" t="s">
        <v>302</v>
      </c>
      <c r="N12" t="s">
        <v>302</v>
      </c>
      <c r="O12" t="s">
        <v>302</v>
      </c>
      <c r="P12" t="s">
        <v>315</v>
      </c>
      <c r="Q12" s="9" t="s">
        <v>58</v>
      </c>
      <c r="R12" s="8" t="s">
        <v>59</v>
      </c>
      <c r="S12" t="s">
        <v>317</v>
      </c>
    </row>
    <row r="13" spans="1:19">
      <c r="A13" s="8" t="s">
        <v>294</v>
      </c>
      <c r="B13" s="8" t="s">
        <v>318</v>
      </c>
      <c r="C13" s="29">
        <v>1</v>
      </c>
      <c r="D13" s="8" t="s">
        <v>296</v>
      </c>
      <c r="E13" s="12">
        <v>45833</v>
      </c>
      <c r="F13" s="13">
        <v>0.22684027777777779</v>
      </c>
      <c r="G13" s="20">
        <v>45834</v>
      </c>
      <c r="H13" s="21">
        <v>0.63055555555555554</v>
      </c>
      <c r="I13">
        <v>1</v>
      </c>
      <c r="J13">
        <v>25</v>
      </c>
      <c r="K13">
        <v>6</v>
      </c>
      <c r="L13" s="17">
        <v>0.64166666666666672</v>
      </c>
      <c r="M13" s="17">
        <f>L13-F13</f>
        <v>0.4148263888888889</v>
      </c>
      <c r="N13" t="s">
        <v>297</v>
      </c>
      <c r="O13" t="s">
        <v>319</v>
      </c>
      <c r="P13" t="s">
        <v>299</v>
      </c>
      <c r="Q13" s="9" t="s">
        <v>64</v>
      </c>
      <c r="R13" s="8" t="s">
        <v>65</v>
      </c>
    </row>
    <row r="14" spans="1:19">
      <c r="A14" s="8" t="s">
        <v>294</v>
      </c>
      <c r="B14" s="8" t="s">
        <v>320</v>
      </c>
      <c r="C14" s="29">
        <v>1</v>
      </c>
      <c r="D14" s="8" t="s">
        <v>296</v>
      </c>
      <c r="E14" s="12">
        <v>45833</v>
      </c>
      <c r="F14" s="13">
        <v>0.2457175925925926</v>
      </c>
      <c r="G14" s="20">
        <v>45834</v>
      </c>
      <c r="H14" s="21">
        <v>0.60416666666666663</v>
      </c>
      <c r="I14">
        <v>0</v>
      </c>
      <c r="J14" t="s">
        <v>302</v>
      </c>
      <c r="K14" t="s">
        <v>302</v>
      </c>
      <c r="L14" t="s">
        <v>302</v>
      </c>
      <c r="N14" t="s">
        <v>302</v>
      </c>
      <c r="O14" t="s">
        <v>302</v>
      </c>
      <c r="P14" t="s">
        <v>299</v>
      </c>
      <c r="Q14" s="9" t="s">
        <v>68</v>
      </c>
      <c r="R14" s="8" t="s">
        <v>69</v>
      </c>
      <c r="S14" t="s">
        <v>321</v>
      </c>
    </row>
    <row r="15" spans="1:19">
      <c r="A15" s="8" t="s">
        <v>294</v>
      </c>
      <c r="B15" s="8" t="s">
        <v>322</v>
      </c>
      <c r="C15" s="29">
        <v>0</v>
      </c>
      <c r="D15" s="8" t="s">
        <v>312</v>
      </c>
      <c r="E15" s="12">
        <v>45833</v>
      </c>
      <c r="F15" s="13">
        <v>0.83655092592592595</v>
      </c>
      <c r="G15" s="20">
        <v>45834</v>
      </c>
      <c r="H15" s="23">
        <v>0.82916666666666672</v>
      </c>
      <c r="I15" s="8">
        <v>0</v>
      </c>
      <c r="J15" t="s">
        <v>302</v>
      </c>
      <c r="K15" t="s">
        <v>302</v>
      </c>
      <c r="L15" t="s">
        <v>302</v>
      </c>
      <c r="N15" t="s">
        <v>302</v>
      </c>
      <c r="O15" t="s">
        <v>302</v>
      </c>
      <c r="P15" t="s">
        <v>299</v>
      </c>
      <c r="Q15" s="9" t="s">
        <v>72</v>
      </c>
      <c r="R15" s="8" t="s">
        <v>73</v>
      </c>
    </row>
    <row r="16" spans="1:19">
      <c r="A16" s="8" t="s">
        <v>294</v>
      </c>
      <c r="B16" s="8" t="s">
        <v>323</v>
      </c>
      <c r="C16" s="29">
        <v>2</v>
      </c>
      <c r="D16" s="8" t="s">
        <v>301</v>
      </c>
      <c r="E16" s="12">
        <v>45833</v>
      </c>
      <c r="F16" s="13">
        <v>0.85964120370370367</v>
      </c>
      <c r="G16" s="20">
        <v>45834</v>
      </c>
      <c r="H16" s="23">
        <v>0.86041666666666672</v>
      </c>
      <c r="I16" s="8">
        <v>0</v>
      </c>
      <c r="J16" t="s">
        <v>302</v>
      </c>
      <c r="K16" t="s">
        <v>302</v>
      </c>
      <c r="L16" t="s">
        <v>302</v>
      </c>
      <c r="N16" t="s">
        <v>302</v>
      </c>
      <c r="O16" t="s">
        <v>302</v>
      </c>
      <c r="P16" t="s">
        <v>299</v>
      </c>
      <c r="Q16" s="9" t="s">
        <v>76</v>
      </c>
      <c r="R16" s="8" t="s">
        <v>77</v>
      </c>
    </row>
    <row r="17" spans="1:19">
      <c r="A17" s="8" t="s">
        <v>294</v>
      </c>
      <c r="B17" s="8" t="s">
        <v>324</v>
      </c>
      <c r="C17" s="29">
        <v>1</v>
      </c>
      <c r="D17" s="8" t="s">
        <v>301</v>
      </c>
      <c r="E17" s="12">
        <v>45839</v>
      </c>
      <c r="F17" s="13">
        <v>0.22824074074074077</v>
      </c>
      <c r="G17" s="20">
        <v>45840</v>
      </c>
      <c r="H17" s="21">
        <v>0.37569444444444444</v>
      </c>
      <c r="I17">
        <v>0</v>
      </c>
      <c r="J17" t="s">
        <v>302</v>
      </c>
      <c r="K17" t="s">
        <v>302</v>
      </c>
      <c r="L17" t="s">
        <v>302</v>
      </c>
      <c r="N17" t="s">
        <v>302</v>
      </c>
      <c r="O17" t="s">
        <v>302</v>
      </c>
      <c r="P17" t="s">
        <v>315</v>
      </c>
      <c r="Q17" s="9" t="s">
        <v>82</v>
      </c>
      <c r="R17" s="8" t="s">
        <v>83</v>
      </c>
    </row>
    <row r="18" spans="1:19">
      <c r="A18" s="8" t="s">
        <v>294</v>
      </c>
      <c r="B18" s="8" t="s">
        <v>325</v>
      </c>
      <c r="C18" s="29">
        <v>1</v>
      </c>
      <c r="D18" s="8" t="s">
        <v>301</v>
      </c>
      <c r="E18" s="12">
        <v>45839</v>
      </c>
      <c r="F18" s="13">
        <v>0.25004629629629627</v>
      </c>
      <c r="G18" s="20">
        <v>45840</v>
      </c>
      <c r="H18" s="21">
        <v>0.35694444444444445</v>
      </c>
      <c r="I18">
        <v>0</v>
      </c>
      <c r="J18" t="s">
        <v>302</v>
      </c>
      <c r="K18" t="s">
        <v>302</v>
      </c>
      <c r="L18" t="s">
        <v>302</v>
      </c>
      <c r="N18" t="s">
        <v>302</v>
      </c>
      <c r="O18" t="s">
        <v>302</v>
      </c>
      <c r="P18" t="s">
        <v>315</v>
      </c>
      <c r="Q18" s="9" t="s">
        <v>86</v>
      </c>
      <c r="R18" s="8" t="s">
        <v>87</v>
      </c>
    </row>
    <row r="19" spans="1:19">
      <c r="A19" s="8" t="s">
        <v>294</v>
      </c>
      <c r="B19" s="8" t="s">
        <v>326</v>
      </c>
      <c r="C19" s="29">
        <v>2</v>
      </c>
      <c r="D19" s="8" t="s">
        <v>301</v>
      </c>
      <c r="E19" s="12">
        <v>45840</v>
      </c>
      <c r="F19" s="13">
        <v>0.23403935185185185</v>
      </c>
      <c r="G19" s="20">
        <v>45841</v>
      </c>
      <c r="H19" s="21">
        <v>0.77500000000000002</v>
      </c>
      <c r="I19">
        <v>1</v>
      </c>
      <c r="J19">
        <v>2</v>
      </c>
      <c r="K19">
        <v>7</v>
      </c>
      <c r="L19" s="17">
        <v>0.3888888888888889</v>
      </c>
      <c r="M19" s="17">
        <f>L19-F19</f>
        <v>0.15484953703703705</v>
      </c>
      <c r="N19" t="s">
        <v>297</v>
      </c>
      <c r="O19" t="s">
        <v>327</v>
      </c>
      <c r="P19" t="s">
        <v>315</v>
      </c>
      <c r="Q19" s="9" t="s">
        <v>92</v>
      </c>
      <c r="R19" s="8" t="s">
        <v>93</v>
      </c>
    </row>
    <row r="20" spans="1:19">
      <c r="A20" s="8" t="s">
        <v>294</v>
      </c>
      <c r="B20" s="8" t="s">
        <v>328</v>
      </c>
      <c r="C20" s="29">
        <v>2</v>
      </c>
      <c r="D20" s="8" t="s">
        <v>301</v>
      </c>
      <c r="E20" s="12">
        <v>45840</v>
      </c>
      <c r="F20" s="13">
        <v>0.2676736111111111</v>
      </c>
      <c r="G20" s="20">
        <v>45841</v>
      </c>
      <c r="H20" s="21">
        <v>0.83333333333333337</v>
      </c>
      <c r="I20">
        <v>1</v>
      </c>
      <c r="J20">
        <v>3</v>
      </c>
      <c r="K20">
        <v>7</v>
      </c>
      <c r="L20" s="17">
        <v>0.5805555555555556</v>
      </c>
      <c r="M20" s="17" t="s">
        <v>329</v>
      </c>
      <c r="N20" t="s">
        <v>330</v>
      </c>
      <c r="O20" s="32" t="s">
        <v>331</v>
      </c>
      <c r="P20" t="s">
        <v>315</v>
      </c>
      <c r="Q20" s="9" t="s">
        <v>96</v>
      </c>
      <c r="R20" s="8" t="s">
        <v>97</v>
      </c>
    </row>
    <row r="21" spans="1:19">
      <c r="A21" s="8" t="s">
        <v>294</v>
      </c>
      <c r="B21" s="8" t="s">
        <v>325</v>
      </c>
      <c r="C21" s="29">
        <v>1</v>
      </c>
      <c r="D21" s="8" t="s">
        <v>301</v>
      </c>
      <c r="E21" s="12">
        <v>45840</v>
      </c>
      <c r="F21" s="13">
        <v>0.84613425925925922</v>
      </c>
      <c r="G21" s="20">
        <v>45841</v>
      </c>
      <c r="H21" s="23">
        <v>0.87291666666666667</v>
      </c>
      <c r="I21" s="8">
        <v>1</v>
      </c>
      <c r="J21">
        <v>3</v>
      </c>
      <c r="K21">
        <v>7</v>
      </c>
      <c r="L21" s="17">
        <v>0.58750000000000002</v>
      </c>
      <c r="M21" s="17">
        <v>0.7416666666666667</v>
      </c>
      <c r="N21" s="25" t="s">
        <v>330</v>
      </c>
      <c r="O21" t="s">
        <v>332</v>
      </c>
      <c r="P21" t="s">
        <v>315</v>
      </c>
      <c r="Q21" s="9" t="s">
        <v>100</v>
      </c>
      <c r="R21" s="8" t="s">
        <v>101</v>
      </c>
      <c r="S21" t="s">
        <v>333</v>
      </c>
    </row>
    <row r="22" spans="1:19">
      <c r="A22" s="8" t="s">
        <v>294</v>
      </c>
      <c r="B22" s="8" t="s">
        <v>324</v>
      </c>
      <c r="C22" s="29">
        <v>1</v>
      </c>
      <c r="D22" s="8" t="s">
        <v>301</v>
      </c>
      <c r="E22" s="12">
        <v>45840</v>
      </c>
      <c r="F22" s="13">
        <v>0.85491898148148149</v>
      </c>
      <c r="G22" s="20">
        <v>45841</v>
      </c>
      <c r="H22" s="23">
        <v>0.88888888888888884</v>
      </c>
      <c r="I22" s="8">
        <v>1</v>
      </c>
      <c r="J22">
        <v>3</v>
      </c>
      <c r="K22">
        <v>7</v>
      </c>
      <c r="L22" s="17">
        <v>0.35555555555555557</v>
      </c>
      <c r="M22" s="17">
        <v>0.49930555555555556</v>
      </c>
      <c r="N22" t="s">
        <v>297</v>
      </c>
      <c r="O22" t="s">
        <v>334</v>
      </c>
      <c r="P22" t="s">
        <v>315</v>
      </c>
      <c r="Q22" s="9" t="s">
        <v>104</v>
      </c>
      <c r="R22" s="8" t="s">
        <v>105</v>
      </c>
      <c r="S22" t="s">
        <v>335</v>
      </c>
    </row>
    <row r="23" spans="1:19">
      <c r="A23" s="8" t="s">
        <v>294</v>
      </c>
      <c r="B23" s="8" t="s">
        <v>336</v>
      </c>
      <c r="C23" s="29">
        <v>0</v>
      </c>
      <c r="D23" s="8" t="s">
        <v>301</v>
      </c>
      <c r="E23" s="12">
        <v>45845</v>
      </c>
      <c r="F23" s="13">
        <v>0.21364583333333334</v>
      </c>
      <c r="G23" s="20">
        <v>45846</v>
      </c>
      <c r="H23" s="21">
        <v>0.46388888888888891</v>
      </c>
      <c r="I23">
        <v>0</v>
      </c>
      <c r="J23" t="s">
        <v>302</v>
      </c>
      <c r="K23" t="s">
        <v>302</v>
      </c>
      <c r="L23" t="s">
        <v>302</v>
      </c>
      <c r="N23" t="s">
        <v>302</v>
      </c>
      <c r="O23" t="s">
        <v>302</v>
      </c>
      <c r="P23" t="s">
        <v>315</v>
      </c>
      <c r="Q23" s="9" t="s">
        <v>110</v>
      </c>
      <c r="R23" s="8" t="s">
        <v>111</v>
      </c>
    </row>
    <row r="24" spans="1:19">
      <c r="A24" s="8" t="s">
        <v>294</v>
      </c>
      <c r="B24" s="8" t="s">
        <v>337</v>
      </c>
      <c r="C24" s="29">
        <v>0</v>
      </c>
      <c r="D24" s="8" t="s">
        <v>312</v>
      </c>
      <c r="E24" s="12">
        <v>45845</v>
      </c>
      <c r="F24" s="13">
        <v>0.24163194444444444</v>
      </c>
      <c r="G24" s="20">
        <v>45846</v>
      </c>
      <c r="H24" s="21">
        <v>0.43680555555555556</v>
      </c>
      <c r="I24">
        <v>0</v>
      </c>
      <c r="J24" t="s">
        <v>302</v>
      </c>
      <c r="K24" t="s">
        <v>302</v>
      </c>
      <c r="L24" t="s">
        <v>302</v>
      </c>
      <c r="N24" t="s">
        <v>302</v>
      </c>
      <c r="O24" t="s">
        <v>302</v>
      </c>
      <c r="P24" t="s">
        <v>315</v>
      </c>
      <c r="Q24" s="9" t="s">
        <v>114</v>
      </c>
      <c r="R24" s="8" t="s">
        <v>115</v>
      </c>
    </row>
    <row r="25" spans="1:19">
      <c r="A25" s="8" t="s">
        <v>294</v>
      </c>
      <c r="B25" s="8" t="s">
        <v>326</v>
      </c>
      <c r="C25" s="29">
        <v>2</v>
      </c>
      <c r="D25" s="8" t="s">
        <v>301</v>
      </c>
      <c r="E25" s="12">
        <v>45846</v>
      </c>
      <c r="F25" s="13">
        <v>0.83229166666666665</v>
      </c>
      <c r="G25" s="20">
        <v>45847</v>
      </c>
      <c r="H25" s="21">
        <v>0.88541666666666663</v>
      </c>
      <c r="I25">
        <v>0</v>
      </c>
      <c r="J25" t="s">
        <v>302</v>
      </c>
      <c r="K25" t="s">
        <v>302</v>
      </c>
      <c r="L25" t="s">
        <v>302</v>
      </c>
      <c r="N25" t="s">
        <v>302</v>
      </c>
      <c r="O25" t="s">
        <v>302</v>
      </c>
      <c r="P25" t="s">
        <v>338</v>
      </c>
      <c r="Q25" s="9" t="s">
        <v>120</v>
      </c>
      <c r="R25" s="8" t="s">
        <v>121</v>
      </c>
    </row>
    <row r="26" spans="1:19">
      <c r="A26" s="8" t="s">
        <v>294</v>
      </c>
      <c r="B26" s="8" t="s">
        <v>328</v>
      </c>
      <c r="C26" s="29">
        <v>2</v>
      </c>
      <c r="D26" s="8" t="s">
        <v>301</v>
      </c>
      <c r="E26" s="12">
        <v>45846</v>
      </c>
      <c r="F26" s="13">
        <v>0.85635416666666664</v>
      </c>
      <c r="G26" s="20">
        <v>45847</v>
      </c>
      <c r="H26" s="23">
        <v>0.90625</v>
      </c>
      <c r="I26" s="8">
        <v>0</v>
      </c>
      <c r="J26" t="s">
        <v>302</v>
      </c>
      <c r="K26" t="s">
        <v>302</v>
      </c>
      <c r="L26" t="s">
        <v>302</v>
      </c>
      <c r="N26" t="s">
        <v>302</v>
      </c>
      <c r="O26" t="s">
        <v>302</v>
      </c>
      <c r="P26" t="s">
        <v>338</v>
      </c>
      <c r="Q26" s="9" t="s">
        <v>124</v>
      </c>
      <c r="R26" s="8" t="s">
        <v>125</v>
      </c>
    </row>
    <row r="27" spans="1:19">
      <c r="A27" s="8" t="s">
        <v>294</v>
      </c>
      <c r="B27" s="8" t="s">
        <v>339</v>
      </c>
      <c r="C27" s="29">
        <v>0</v>
      </c>
      <c r="D27" s="8" t="s">
        <v>296</v>
      </c>
      <c r="E27" s="12">
        <v>45847</v>
      </c>
      <c r="F27" s="13">
        <v>0.83236111111111111</v>
      </c>
      <c r="G27" s="20">
        <v>45848</v>
      </c>
      <c r="H27" s="21">
        <v>0.83750000000000002</v>
      </c>
      <c r="I27">
        <v>0</v>
      </c>
      <c r="J27" t="s">
        <v>302</v>
      </c>
      <c r="K27" t="s">
        <v>302</v>
      </c>
      <c r="L27" t="s">
        <v>302</v>
      </c>
      <c r="N27" t="s">
        <v>302</v>
      </c>
      <c r="O27" t="s">
        <v>302</v>
      </c>
      <c r="P27" t="s">
        <v>340</v>
      </c>
      <c r="Q27" s="9" t="s">
        <v>130</v>
      </c>
      <c r="R27" s="8" t="s">
        <v>131</v>
      </c>
    </row>
    <row r="28" spans="1:19">
      <c r="A28" s="8" t="s">
        <v>294</v>
      </c>
      <c r="B28" s="8" t="s">
        <v>341</v>
      </c>
      <c r="C28" s="29">
        <v>1</v>
      </c>
      <c r="D28" s="8" t="s">
        <v>296</v>
      </c>
      <c r="E28" s="12">
        <v>45847</v>
      </c>
      <c r="F28" s="13">
        <v>0.85787037037037039</v>
      </c>
      <c r="G28" s="20">
        <v>45848</v>
      </c>
      <c r="H28" s="23">
        <v>0.86736111111111114</v>
      </c>
      <c r="I28" s="8">
        <v>0</v>
      </c>
      <c r="J28" t="s">
        <v>302</v>
      </c>
      <c r="K28" t="s">
        <v>302</v>
      </c>
      <c r="L28" t="s">
        <v>302</v>
      </c>
      <c r="N28" t="s">
        <v>302</v>
      </c>
      <c r="O28" t="s">
        <v>302</v>
      </c>
      <c r="P28" t="s">
        <v>342</v>
      </c>
      <c r="Q28" s="9" t="s">
        <v>134</v>
      </c>
      <c r="R28" s="8" t="s">
        <v>135</v>
      </c>
    </row>
    <row r="29" spans="1:19">
      <c r="A29" s="8" t="s">
        <v>294</v>
      </c>
      <c r="B29" s="8" t="s">
        <v>343</v>
      </c>
      <c r="C29" s="29">
        <v>2</v>
      </c>
      <c r="D29" s="8" t="s">
        <v>312</v>
      </c>
      <c r="E29" s="12">
        <v>45852</v>
      </c>
      <c r="F29" s="13">
        <v>0.20693287037037036</v>
      </c>
      <c r="G29" s="20">
        <v>45853</v>
      </c>
      <c r="H29" s="21">
        <v>0.375</v>
      </c>
      <c r="I29">
        <v>0</v>
      </c>
      <c r="J29" t="s">
        <v>302</v>
      </c>
      <c r="K29" t="s">
        <v>302</v>
      </c>
      <c r="L29" t="s">
        <v>302</v>
      </c>
      <c r="N29" t="s">
        <v>302</v>
      </c>
      <c r="O29" t="s">
        <v>302</v>
      </c>
      <c r="P29" t="s">
        <v>302</v>
      </c>
      <c r="Q29" s="9" t="s">
        <v>140</v>
      </c>
      <c r="R29" s="8" t="s">
        <v>141</v>
      </c>
      <c r="S29" t="s">
        <v>344</v>
      </c>
    </row>
    <row r="30" spans="1:19">
      <c r="A30" s="8" t="s">
        <v>294</v>
      </c>
      <c r="B30" s="8" t="s">
        <v>345</v>
      </c>
      <c r="C30" s="29">
        <v>0</v>
      </c>
      <c r="D30" s="8" t="s">
        <v>296</v>
      </c>
      <c r="E30" s="12">
        <v>45852</v>
      </c>
      <c r="F30" s="13">
        <v>0.2278125</v>
      </c>
      <c r="G30" s="20">
        <v>45853</v>
      </c>
      <c r="H30" s="21">
        <v>0.3888888888888889</v>
      </c>
      <c r="I30">
        <v>0</v>
      </c>
      <c r="J30" t="s">
        <v>302</v>
      </c>
      <c r="K30" t="s">
        <v>302</v>
      </c>
      <c r="L30" t="s">
        <v>302</v>
      </c>
      <c r="N30" t="s">
        <v>302</v>
      </c>
      <c r="O30" t="s">
        <v>302</v>
      </c>
      <c r="P30" t="s">
        <v>299</v>
      </c>
      <c r="Q30" s="9" t="s">
        <v>144</v>
      </c>
      <c r="R30" s="8" t="s">
        <v>145</v>
      </c>
    </row>
    <row r="31" spans="1:19">
      <c r="A31" s="8" t="s">
        <v>294</v>
      </c>
      <c r="B31" s="8" t="s">
        <v>346</v>
      </c>
      <c r="C31" s="29">
        <v>2</v>
      </c>
      <c r="D31" s="8" t="s">
        <v>296</v>
      </c>
      <c r="E31" s="12">
        <v>45852</v>
      </c>
      <c r="F31" s="13">
        <v>0.24381944444444445</v>
      </c>
      <c r="G31" s="20">
        <v>45853</v>
      </c>
      <c r="H31" s="21">
        <v>0.42708333333333331</v>
      </c>
      <c r="I31">
        <v>0</v>
      </c>
      <c r="J31" t="s">
        <v>302</v>
      </c>
      <c r="K31" t="s">
        <v>302</v>
      </c>
      <c r="L31" t="s">
        <v>302</v>
      </c>
      <c r="N31" t="s">
        <v>302</v>
      </c>
      <c r="O31" t="s">
        <v>302</v>
      </c>
      <c r="P31" t="s">
        <v>299</v>
      </c>
      <c r="Q31" s="9" t="s">
        <v>148</v>
      </c>
      <c r="R31" s="8" t="s">
        <v>149</v>
      </c>
    </row>
    <row r="32" spans="1:19">
      <c r="A32" s="8" t="s">
        <v>294</v>
      </c>
      <c r="B32" s="8" t="s">
        <v>323</v>
      </c>
      <c r="C32" s="29">
        <v>2</v>
      </c>
      <c r="D32" s="8" t="s">
        <v>301</v>
      </c>
      <c r="E32" s="12">
        <v>45855</v>
      </c>
      <c r="F32" s="13">
        <v>0.23238425925925929</v>
      </c>
      <c r="G32" s="20">
        <v>45856</v>
      </c>
      <c r="H32" s="21">
        <v>0.39444444444444443</v>
      </c>
      <c r="I32">
        <v>0</v>
      </c>
      <c r="J32" t="s">
        <v>302</v>
      </c>
      <c r="K32" t="s">
        <v>302</v>
      </c>
      <c r="L32" t="s">
        <v>302</v>
      </c>
      <c r="N32" t="s">
        <v>302</v>
      </c>
      <c r="O32" t="s">
        <v>302</v>
      </c>
      <c r="P32" t="s">
        <v>315</v>
      </c>
      <c r="Q32" s="9" t="s">
        <v>154</v>
      </c>
      <c r="R32" s="8" t="s">
        <v>155</v>
      </c>
    </row>
    <row r="33" spans="1:19">
      <c r="A33" s="8" t="s">
        <v>294</v>
      </c>
      <c r="B33" s="8" t="s">
        <v>300</v>
      </c>
      <c r="C33" s="29">
        <v>0</v>
      </c>
      <c r="D33" s="8" t="s">
        <v>301</v>
      </c>
      <c r="E33" s="12">
        <v>45855</v>
      </c>
      <c r="F33" s="13">
        <v>0.24686342592592594</v>
      </c>
      <c r="G33" s="20">
        <v>45856</v>
      </c>
      <c r="H33" s="21">
        <v>0.40416666666666667</v>
      </c>
      <c r="I33">
        <v>1</v>
      </c>
      <c r="J33">
        <v>18</v>
      </c>
      <c r="K33">
        <v>7</v>
      </c>
      <c r="L33" s="17">
        <v>6.2500000000000003E-3</v>
      </c>
      <c r="M33" s="17">
        <v>0.75972222222222219</v>
      </c>
      <c r="N33" t="s">
        <v>347</v>
      </c>
      <c r="O33" t="s">
        <v>348</v>
      </c>
      <c r="P33" t="s">
        <v>315</v>
      </c>
      <c r="Q33" s="9" t="s">
        <v>158</v>
      </c>
      <c r="R33" s="8" t="s">
        <v>159</v>
      </c>
    </row>
    <row r="34" spans="1:19">
      <c r="A34" s="8" t="s">
        <v>294</v>
      </c>
      <c r="B34" s="8" t="s">
        <v>322</v>
      </c>
      <c r="C34" s="29">
        <v>0</v>
      </c>
      <c r="D34" s="8" t="s">
        <v>312</v>
      </c>
      <c r="E34" s="12">
        <v>45855</v>
      </c>
      <c r="F34" s="13">
        <v>0.26728009259259256</v>
      </c>
      <c r="G34" s="20">
        <v>45856</v>
      </c>
      <c r="H34" s="21">
        <v>0.4201388888888889</v>
      </c>
      <c r="I34">
        <v>0</v>
      </c>
      <c r="J34" t="s">
        <v>302</v>
      </c>
      <c r="K34" t="s">
        <v>302</v>
      </c>
      <c r="L34" t="s">
        <v>302</v>
      </c>
      <c r="N34" t="s">
        <v>302</v>
      </c>
      <c r="O34" t="s">
        <v>302</v>
      </c>
      <c r="P34" t="s">
        <v>315</v>
      </c>
      <c r="Q34" s="9" t="s">
        <v>162</v>
      </c>
      <c r="R34" s="8" t="s">
        <v>163</v>
      </c>
      <c r="S34" s="25" t="s">
        <v>349</v>
      </c>
    </row>
    <row r="35" spans="1:19">
      <c r="A35" s="8" t="s">
        <v>294</v>
      </c>
      <c r="B35" s="8" t="s">
        <v>339</v>
      </c>
      <c r="C35" s="29">
        <v>0</v>
      </c>
      <c r="D35" s="8" t="s">
        <v>296</v>
      </c>
      <c r="E35" s="12">
        <v>45859</v>
      </c>
      <c r="F35" s="13">
        <v>0.23170138888888889</v>
      </c>
      <c r="G35" s="20">
        <v>45860</v>
      </c>
      <c r="H35" s="21">
        <v>0.35486111111111113</v>
      </c>
      <c r="I35">
        <v>0</v>
      </c>
      <c r="J35" t="s">
        <v>302</v>
      </c>
      <c r="K35" t="s">
        <v>302</v>
      </c>
      <c r="L35" t="s">
        <v>302</v>
      </c>
      <c r="N35" t="s">
        <v>302</v>
      </c>
      <c r="O35" t="s">
        <v>302</v>
      </c>
      <c r="P35" t="s">
        <v>299</v>
      </c>
      <c r="Q35" s="9" t="s">
        <v>168</v>
      </c>
      <c r="R35" s="8" t="s">
        <v>169</v>
      </c>
    </row>
    <row r="36" spans="1:19">
      <c r="A36" s="8" t="s">
        <v>294</v>
      </c>
      <c r="B36" s="8" t="s">
        <v>341</v>
      </c>
      <c r="C36" s="29">
        <v>1</v>
      </c>
      <c r="D36" s="8" t="s">
        <v>296</v>
      </c>
      <c r="E36" s="12">
        <v>45859</v>
      </c>
      <c r="F36" s="13">
        <v>0.24736111111111111</v>
      </c>
      <c r="G36" s="20">
        <v>45860</v>
      </c>
      <c r="H36" s="21">
        <v>0.36388888888888887</v>
      </c>
      <c r="I36">
        <v>0</v>
      </c>
      <c r="J36" t="s">
        <v>302</v>
      </c>
      <c r="K36" t="s">
        <v>302</v>
      </c>
      <c r="L36" t="s">
        <v>302</v>
      </c>
      <c r="N36" t="s">
        <v>302</v>
      </c>
      <c r="O36" t="s">
        <v>302</v>
      </c>
      <c r="P36" t="s">
        <v>299</v>
      </c>
      <c r="Q36" s="9" t="s">
        <v>172</v>
      </c>
      <c r="R36" s="8" t="s">
        <v>173</v>
      </c>
    </row>
    <row r="37" spans="1:19">
      <c r="A37" s="8" t="s">
        <v>294</v>
      </c>
      <c r="B37" s="8" t="s">
        <v>320</v>
      </c>
      <c r="C37" s="29">
        <v>1</v>
      </c>
      <c r="D37" s="8" t="s">
        <v>296</v>
      </c>
      <c r="E37" s="12">
        <v>45860</v>
      </c>
      <c r="F37" s="13">
        <v>0.86150462962962959</v>
      </c>
      <c r="G37" s="20">
        <v>45861</v>
      </c>
      <c r="H37" s="23">
        <v>0.87847222222222221</v>
      </c>
      <c r="I37" s="8">
        <v>0</v>
      </c>
      <c r="J37" t="s">
        <v>302</v>
      </c>
      <c r="K37" t="s">
        <v>302</v>
      </c>
      <c r="L37" t="s">
        <v>302</v>
      </c>
      <c r="N37" t="s">
        <v>302</v>
      </c>
      <c r="O37" t="s">
        <v>302</v>
      </c>
      <c r="P37" t="s">
        <v>299</v>
      </c>
      <c r="Q37" s="9" t="s">
        <v>178</v>
      </c>
      <c r="R37" s="8" t="s">
        <v>179</v>
      </c>
    </row>
    <row r="38" spans="1:19">
      <c r="A38" s="8" t="s">
        <v>294</v>
      </c>
      <c r="B38" s="8" t="s">
        <v>318</v>
      </c>
      <c r="C38" s="29">
        <v>1</v>
      </c>
      <c r="D38" s="8" t="s">
        <v>296</v>
      </c>
      <c r="E38" s="12">
        <v>45860</v>
      </c>
      <c r="F38" s="13">
        <v>0.88861111111111113</v>
      </c>
      <c r="G38" s="20">
        <v>45861</v>
      </c>
      <c r="H38" s="23">
        <v>0.89236111111111116</v>
      </c>
      <c r="I38" s="8">
        <v>0</v>
      </c>
      <c r="J38" t="s">
        <v>302</v>
      </c>
      <c r="K38" t="s">
        <v>302</v>
      </c>
      <c r="L38" t="s">
        <v>302</v>
      </c>
      <c r="N38" t="s">
        <v>302</v>
      </c>
      <c r="O38" t="s">
        <v>302</v>
      </c>
      <c r="P38" t="s">
        <v>299</v>
      </c>
      <c r="Q38" s="9" t="s">
        <v>181</v>
      </c>
      <c r="R38" s="8" t="s">
        <v>182</v>
      </c>
    </row>
    <row r="39" spans="1:19">
      <c r="A39" s="8" t="s">
        <v>294</v>
      </c>
      <c r="B39" s="26" t="s">
        <v>318</v>
      </c>
      <c r="C39" s="30">
        <v>1</v>
      </c>
      <c r="D39" s="26" t="s">
        <v>296</v>
      </c>
      <c r="E39" s="18">
        <v>45861</v>
      </c>
      <c r="F39" s="27">
        <v>0.88953703703703701</v>
      </c>
      <c r="H39" s="23"/>
      <c r="I39" s="8"/>
      <c r="P39" t="s">
        <v>350</v>
      </c>
      <c r="Q39" s="9" t="s">
        <v>184</v>
      </c>
      <c r="R39" s="8" t="s">
        <v>185</v>
      </c>
    </row>
    <row r="40" spans="1:19">
      <c r="A40" s="8" t="s">
        <v>294</v>
      </c>
      <c r="B40" s="8" t="s">
        <v>345</v>
      </c>
      <c r="C40" s="29">
        <v>0</v>
      </c>
      <c r="D40" s="8" t="s">
        <v>296</v>
      </c>
      <c r="E40" s="12">
        <v>45861</v>
      </c>
      <c r="F40" s="13">
        <v>0.84047453703703701</v>
      </c>
      <c r="G40" s="20">
        <v>45862</v>
      </c>
      <c r="H40" s="23">
        <v>0.84166666666666667</v>
      </c>
      <c r="I40" s="8">
        <v>0</v>
      </c>
      <c r="J40" t="s">
        <v>302</v>
      </c>
      <c r="K40" t="s">
        <v>302</v>
      </c>
      <c r="L40" t="s">
        <v>302</v>
      </c>
      <c r="N40" t="s">
        <v>302</v>
      </c>
      <c r="O40" t="s">
        <v>302</v>
      </c>
      <c r="P40" t="s">
        <v>351</v>
      </c>
      <c r="Q40" s="9" t="s">
        <v>190</v>
      </c>
      <c r="R40" s="8" t="s">
        <v>191</v>
      </c>
    </row>
    <row r="41" spans="1:19">
      <c r="A41" s="8" t="s">
        <v>294</v>
      </c>
      <c r="B41" s="8" t="s">
        <v>346</v>
      </c>
      <c r="C41" s="29">
        <v>2</v>
      </c>
      <c r="D41" s="8" t="s">
        <v>296</v>
      </c>
      <c r="E41" s="12">
        <v>45861</v>
      </c>
      <c r="F41" s="13">
        <v>0.8521643518518518</v>
      </c>
      <c r="G41" s="20">
        <v>45862</v>
      </c>
      <c r="H41" s="23">
        <v>0.85763888888888884</v>
      </c>
      <c r="I41" s="8">
        <v>1</v>
      </c>
      <c r="J41">
        <v>24</v>
      </c>
      <c r="K41">
        <v>7</v>
      </c>
      <c r="L41" s="17">
        <v>0.39930555555555558</v>
      </c>
      <c r="M41" s="17">
        <v>0.56111111111111112</v>
      </c>
      <c r="N41" t="s">
        <v>330</v>
      </c>
      <c r="O41" t="s">
        <v>352</v>
      </c>
      <c r="P41" t="s">
        <v>338</v>
      </c>
      <c r="Q41" s="9" t="s">
        <v>194</v>
      </c>
      <c r="R41" s="8" t="s">
        <v>195</v>
      </c>
    </row>
    <row r="42" spans="1:19">
      <c r="A42" s="8" t="s">
        <v>294</v>
      </c>
      <c r="B42" s="8" t="s">
        <v>353</v>
      </c>
      <c r="C42" s="29">
        <v>2</v>
      </c>
      <c r="D42" s="8" t="s">
        <v>301</v>
      </c>
      <c r="E42" s="12">
        <v>45866</v>
      </c>
      <c r="F42" s="13">
        <v>0.21810185185185185</v>
      </c>
      <c r="G42" s="20">
        <v>45867</v>
      </c>
      <c r="H42" s="21">
        <v>0.37013888888888891</v>
      </c>
      <c r="I42">
        <v>0</v>
      </c>
      <c r="J42" t="s">
        <v>302</v>
      </c>
      <c r="K42" t="s">
        <v>302</v>
      </c>
      <c r="L42" t="s">
        <v>302</v>
      </c>
      <c r="N42" t="s">
        <v>302</v>
      </c>
      <c r="O42" t="s">
        <v>302</v>
      </c>
      <c r="P42" t="s">
        <v>299</v>
      </c>
      <c r="Q42" s="9" t="s">
        <v>200</v>
      </c>
      <c r="R42" s="8" t="s">
        <v>201</v>
      </c>
    </row>
    <row r="43" spans="1:19">
      <c r="A43" s="8" t="s">
        <v>294</v>
      </c>
      <c r="B43" s="8" t="s">
        <v>354</v>
      </c>
      <c r="C43" s="29">
        <v>1</v>
      </c>
      <c r="D43" s="8" t="s">
        <v>301</v>
      </c>
      <c r="E43" s="12">
        <v>45866</v>
      </c>
      <c r="F43" s="13">
        <v>0.23466435185185189</v>
      </c>
      <c r="G43" s="20">
        <v>45867</v>
      </c>
      <c r="H43" s="21">
        <v>0.38263888888888886</v>
      </c>
      <c r="I43">
        <v>0</v>
      </c>
      <c r="J43" t="s">
        <v>302</v>
      </c>
      <c r="K43" t="s">
        <v>302</v>
      </c>
      <c r="L43" t="s">
        <v>302</v>
      </c>
      <c r="N43" t="s">
        <v>302</v>
      </c>
      <c r="O43" t="s">
        <v>302</v>
      </c>
      <c r="P43" t="s">
        <v>299</v>
      </c>
      <c r="Q43" s="9" t="s">
        <v>204</v>
      </c>
      <c r="R43" s="8" t="s">
        <v>205</v>
      </c>
    </row>
    <row r="44" spans="1:19">
      <c r="A44" s="8" t="s">
        <v>294</v>
      </c>
      <c r="B44" s="8" t="s">
        <v>355</v>
      </c>
      <c r="C44" s="29">
        <v>2</v>
      </c>
      <c r="D44" s="8" t="s">
        <v>296</v>
      </c>
      <c r="E44" s="12">
        <v>45866</v>
      </c>
      <c r="F44" s="13">
        <v>0.25085648148148154</v>
      </c>
      <c r="G44" s="20">
        <v>45867</v>
      </c>
      <c r="H44" s="21">
        <v>0.36041666666666666</v>
      </c>
      <c r="I44">
        <v>1</v>
      </c>
      <c r="J44">
        <v>28</v>
      </c>
      <c r="K44">
        <v>7</v>
      </c>
      <c r="L44" s="17">
        <v>0.29583333333333334</v>
      </c>
      <c r="M44" s="17">
        <f>L44-F44</f>
        <v>4.4976851851851796E-2</v>
      </c>
      <c r="N44" t="s">
        <v>297</v>
      </c>
      <c r="O44" t="s">
        <v>356</v>
      </c>
      <c r="P44" t="s">
        <v>299</v>
      </c>
      <c r="Q44" s="9" t="s">
        <v>208</v>
      </c>
      <c r="R44" s="8" t="s">
        <v>209</v>
      </c>
    </row>
    <row r="45" spans="1:19">
      <c r="A45" s="8" t="s">
        <v>294</v>
      </c>
      <c r="B45" s="8" t="s">
        <v>353</v>
      </c>
      <c r="C45" s="29">
        <v>2</v>
      </c>
      <c r="D45" s="8" t="s">
        <v>301</v>
      </c>
      <c r="E45" s="12">
        <v>45868</v>
      </c>
      <c r="F45" s="13">
        <v>0.82900462962962962</v>
      </c>
      <c r="G45" s="20">
        <v>45869</v>
      </c>
      <c r="H45" s="21">
        <v>0.84861111111111109</v>
      </c>
      <c r="I45">
        <v>1</v>
      </c>
      <c r="J45">
        <v>31</v>
      </c>
      <c r="K45">
        <v>7</v>
      </c>
      <c r="L45" s="17">
        <v>0.31666666666666665</v>
      </c>
      <c r="M45" s="17">
        <v>0.48819444444444443</v>
      </c>
      <c r="N45" t="s">
        <v>330</v>
      </c>
      <c r="O45" t="s">
        <v>357</v>
      </c>
      <c r="P45" t="s">
        <v>299</v>
      </c>
      <c r="Q45" s="9" t="s">
        <v>214</v>
      </c>
      <c r="R45" s="8" t="s">
        <v>215</v>
      </c>
    </row>
    <row r="46" spans="1:19">
      <c r="A46" s="8" t="s">
        <v>294</v>
      </c>
      <c r="B46" s="8" t="s">
        <v>354</v>
      </c>
      <c r="C46" s="29">
        <v>1</v>
      </c>
      <c r="D46" s="8" t="s">
        <v>301</v>
      </c>
      <c r="E46" s="12">
        <v>45868</v>
      </c>
      <c r="F46" s="13">
        <v>0.84229166666666666</v>
      </c>
      <c r="G46" s="20">
        <v>45869</v>
      </c>
      <c r="H46" s="23">
        <v>0.85763888888888884</v>
      </c>
      <c r="I46" s="8">
        <v>0</v>
      </c>
      <c r="J46" t="s">
        <v>302</v>
      </c>
      <c r="K46" t="s">
        <v>302</v>
      </c>
      <c r="L46" t="s">
        <v>302</v>
      </c>
      <c r="N46" t="s">
        <v>302</v>
      </c>
      <c r="O46" t="s">
        <v>302</v>
      </c>
      <c r="P46" t="s">
        <v>299</v>
      </c>
      <c r="Q46" s="9" t="s">
        <v>218</v>
      </c>
      <c r="R46" s="8" t="s">
        <v>219</v>
      </c>
      <c r="S46" t="s">
        <v>358</v>
      </c>
    </row>
    <row r="47" spans="1:19">
      <c r="A47" s="8" t="s">
        <v>294</v>
      </c>
      <c r="B47" s="8" t="s">
        <v>355</v>
      </c>
      <c r="C47" s="29">
        <v>2</v>
      </c>
      <c r="D47" s="8" t="s">
        <v>296</v>
      </c>
      <c r="E47" s="12">
        <v>45868</v>
      </c>
      <c r="F47" s="13">
        <v>0.85918981481481482</v>
      </c>
      <c r="G47" s="20">
        <v>45869</v>
      </c>
      <c r="H47" s="23">
        <v>0.87013888888888891</v>
      </c>
      <c r="I47" s="8">
        <v>0</v>
      </c>
      <c r="J47" t="s">
        <v>302</v>
      </c>
      <c r="K47" t="s">
        <v>302</v>
      </c>
      <c r="L47" t="s">
        <v>302</v>
      </c>
      <c r="N47" t="s">
        <v>302</v>
      </c>
      <c r="O47" t="s">
        <v>302</v>
      </c>
      <c r="P47" t="s">
        <v>299</v>
      </c>
      <c r="Q47" s="9" t="s">
        <v>222</v>
      </c>
      <c r="R47" s="8" t="s">
        <v>223</v>
      </c>
    </row>
    <row r="48" spans="1:19">
      <c r="A48" s="8" t="s">
        <v>294</v>
      </c>
      <c r="B48" s="13" t="s">
        <v>359</v>
      </c>
      <c r="C48" s="31">
        <v>2</v>
      </c>
      <c r="D48" s="13" t="s">
        <v>296</v>
      </c>
      <c r="E48" s="12">
        <v>45873</v>
      </c>
      <c r="F48" s="13">
        <v>0.21283564814814818</v>
      </c>
      <c r="G48" s="20">
        <v>45874</v>
      </c>
      <c r="H48" s="21">
        <v>0.30972222222222223</v>
      </c>
      <c r="I48">
        <v>0</v>
      </c>
      <c r="J48" t="s">
        <v>302</v>
      </c>
      <c r="K48" t="s">
        <v>302</v>
      </c>
      <c r="L48" t="s">
        <v>302</v>
      </c>
      <c r="N48" t="s">
        <v>302</v>
      </c>
      <c r="O48" t="s">
        <v>302</v>
      </c>
      <c r="P48" t="s">
        <v>299</v>
      </c>
      <c r="Q48" s="9" t="s">
        <v>228</v>
      </c>
      <c r="R48" s="8" t="s">
        <v>229</v>
      </c>
    </row>
    <row r="49" spans="1:19">
      <c r="A49" s="8" t="s">
        <v>294</v>
      </c>
      <c r="B49" s="13" t="s">
        <v>360</v>
      </c>
      <c r="C49" s="31">
        <v>2</v>
      </c>
      <c r="D49" s="13" t="s">
        <v>301</v>
      </c>
      <c r="E49" s="12">
        <v>45873</v>
      </c>
      <c r="F49" s="13">
        <v>0.22660879629629629</v>
      </c>
      <c r="G49" s="20">
        <v>45874</v>
      </c>
      <c r="H49" s="21">
        <v>0.31874999999999998</v>
      </c>
      <c r="I49">
        <v>0</v>
      </c>
      <c r="J49" t="s">
        <v>302</v>
      </c>
      <c r="K49" t="s">
        <v>302</v>
      </c>
      <c r="L49" t="s">
        <v>302</v>
      </c>
      <c r="N49" t="s">
        <v>302</v>
      </c>
      <c r="O49" t="s">
        <v>302</v>
      </c>
      <c r="P49" t="s">
        <v>299</v>
      </c>
      <c r="Q49" s="9" t="s">
        <v>232</v>
      </c>
      <c r="R49" s="8" t="s">
        <v>233</v>
      </c>
    </row>
    <row r="50" spans="1:19">
      <c r="A50" s="8" t="s">
        <v>294</v>
      </c>
      <c r="B50" s="13" t="s">
        <v>361</v>
      </c>
      <c r="C50" s="31">
        <v>1</v>
      </c>
      <c r="D50" s="13" t="s">
        <v>301</v>
      </c>
      <c r="E50" s="12">
        <v>45873</v>
      </c>
      <c r="F50" s="13">
        <v>0.23924768518518522</v>
      </c>
      <c r="G50" s="20">
        <v>45874</v>
      </c>
      <c r="H50" s="21">
        <v>0.32500000000000001</v>
      </c>
      <c r="I50">
        <v>0</v>
      </c>
      <c r="J50" t="s">
        <v>302</v>
      </c>
      <c r="K50" t="s">
        <v>302</v>
      </c>
      <c r="L50" s="17" t="s">
        <v>302</v>
      </c>
      <c r="M50" s="17"/>
      <c r="N50" t="s">
        <v>302</v>
      </c>
      <c r="O50" t="s">
        <v>362</v>
      </c>
      <c r="P50" t="s">
        <v>299</v>
      </c>
      <c r="Q50" s="9" t="s">
        <v>236</v>
      </c>
      <c r="R50" s="8" t="s">
        <v>237</v>
      </c>
      <c r="S50" t="s">
        <v>363</v>
      </c>
    </row>
    <row r="51" spans="1:19">
      <c r="A51" s="8" t="s">
        <v>294</v>
      </c>
      <c r="B51" s="13" t="s">
        <v>359</v>
      </c>
      <c r="C51" s="31">
        <v>2</v>
      </c>
      <c r="D51" s="13" t="s">
        <v>296</v>
      </c>
      <c r="E51" s="12">
        <v>45875</v>
      </c>
      <c r="F51" s="13">
        <v>0.82633101851851853</v>
      </c>
      <c r="G51" s="20">
        <v>45876</v>
      </c>
      <c r="H51" s="21">
        <v>0.83194444444444449</v>
      </c>
      <c r="I51">
        <v>0</v>
      </c>
      <c r="J51" t="s">
        <v>302</v>
      </c>
      <c r="K51" t="s">
        <v>302</v>
      </c>
      <c r="L51" t="s">
        <v>302</v>
      </c>
      <c r="N51" t="s">
        <v>302</v>
      </c>
      <c r="O51" t="s">
        <v>302</v>
      </c>
      <c r="P51" t="s">
        <v>299</v>
      </c>
      <c r="Q51" s="9" t="s">
        <v>242</v>
      </c>
      <c r="R51" s="8" t="s">
        <v>243</v>
      </c>
    </row>
    <row r="52" spans="1:19">
      <c r="A52" s="8" t="s">
        <v>294</v>
      </c>
      <c r="B52" s="13" t="s">
        <v>360</v>
      </c>
      <c r="C52" s="31">
        <v>2</v>
      </c>
      <c r="D52" s="13" t="s">
        <v>301</v>
      </c>
      <c r="E52" s="12">
        <v>45875</v>
      </c>
      <c r="F52" s="13">
        <v>0.83769675925925924</v>
      </c>
      <c r="G52" s="20">
        <v>45876</v>
      </c>
      <c r="H52" s="21">
        <v>0.83888888888888891</v>
      </c>
      <c r="I52">
        <v>1</v>
      </c>
      <c r="J52">
        <v>7</v>
      </c>
      <c r="K52">
        <v>8</v>
      </c>
      <c r="L52" s="17">
        <v>0.2638888888888889</v>
      </c>
      <c r="M52" s="17">
        <v>0.42638888888888887</v>
      </c>
      <c r="N52" t="s">
        <v>330</v>
      </c>
      <c r="O52" t="s">
        <v>364</v>
      </c>
      <c r="P52" t="s">
        <v>299</v>
      </c>
      <c r="Q52" s="9" t="s">
        <v>246</v>
      </c>
      <c r="R52" s="8" t="s">
        <v>233</v>
      </c>
    </row>
    <row r="53" spans="1:19">
      <c r="A53" s="8" t="s">
        <v>294</v>
      </c>
      <c r="B53" s="13" t="s">
        <v>361</v>
      </c>
      <c r="C53" s="31">
        <v>1</v>
      </c>
      <c r="D53" s="13" t="s">
        <v>301</v>
      </c>
      <c r="E53" s="12">
        <v>45875</v>
      </c>
      <c r="F53" s="13">
        <v>0.8503356481481481</v>
      </c>
      <c r="G53" s="20">
        <v>45876</v>
      </c>
      <c r="H53" s="21">
        <v>0.84513888888888888</v>
      </c>
      <c r="I53">
        <v>0</v>
      </c>
      <c r="J53" t="s">
        <v>302</v>
      </c>
      <c r="K53" t="s">
        <v>302</v>
      </c>
      <c r="L53" t="s">
        <v>302</v>
      </c>
      <c r="N53" t="s">
        <v>302</v>
      </c>
      <c r="O53" t="s">
        <v>302</v>
      </c>
      <c r="P53" t="s">
        <v>299</v>
      </c>
      <c r="Q53" s="9" t="s">
        <v>249</v>
      </c>
      <c r="R53" s="8" t="s">
        <v>250</v>
      </c>
    </row>
    <row r="54" spans="1:19">
      <c r="A54" s="8" t="s">
        <v>294</v>
      </c>
      <c r="B54" s="13" t="s">
        <v>365</v>
      </c>
      <c r="C54" s="31">
        <v>0</v>
      </c>
      <c r="D54" s="13" t="s">
        <v>301</v>
      </c>
      <c r="E54" s="12">
        <v>45880</v>
      </c>
      <c r="F54" s="13">
        <v>0.22806712962962963</v>
      </c>
      <c r="G54" s="20">
        <v>45881</v>
      </c>
      <c r="H54" s="21">
        <v>0.36736111111111114</v>
      </c>
      <c r="I54">
        <v>0</v>
      </c>
      <c r="J54" t="s">
        <v>302</v>
      </c>
      <c r="K54" t="s">
        <v>302</v>
      </c>
      <c r="L54" t="s">
        <v>302</v>
      </c>
      <c r="N54" t="s">
        <v>302</v>
      </c>
      <c r="O54" t="s">
        <v>302</v>
      </c>
      <c r="P54" t="s">
        <v>299</v>
      </c>
      <c r="Q54" s="9" t="s">
        <v>255</v>
      </c>
      <c r="R54" s="8" t="s">
        <v>256</v>
      </c>
      <c r="S54" t="s">
        <v>358</v>
      </c>
    </row>
    <row r="55" spans="1:19">
      <c r="A55" s="8" t="s">
        <v>294</v>
      </c>
      <c r="B55" s="13" t="s">
        <v>366</v>
      </c>
      <c r="C55" s="31">
        <v>1</v>
      </c>
      <c r="D55" s="13" t="s">
        <v>301</v>
      </c>
      <c r="E55" s="12">
        <v>45880</v>
      </c>
      <c r="F55" s="13">
        <v>0.25126157407407412</v>
      </c>
      <c r="G55" s="20">
        <v>45881</v>
      </c>
      <c r="H55" s="21">
        <v>0.3923611111111111</v>
      </c>
      <c r="I55">
        <v>0</v>
      </c>
      <c r="J55" t="s">
        <v>302</v>
      </c>
      <c r="K55" t="s">
        <v>302</v>
      </c>
      <c r="L55" t="s">
        <v>302</v>
      </c>
      <c r="N55" t="s">
        <v>302</v>
      </c>
      <c r="O55" t="s">
        <v>302</v>
      </c>
      <c r="P55" t="s">
        <v>367</v>
      </c>
      <c r="Q55" s="9" t="s">
        <v>259</v>
      </c>
      <c r="R55" s="8" t="s">
        <v>260</v>
      </c>
    </row>
    <row r="56" spans="1:19">
      <c r="A56" s="8" t="s">
        <v>294</v>
      </c>
      <c r="B56" s="13" t="s">
        <v>368</v>
      </c>
      <c r="C56" s="31">
        <v>0</v>
      </c>
      <c r="D56" s="13" t="s">
        <v>301</v>
      </c>
      <c r="E56" s="12">
        <v>45880</v>
      </c>
      <c r="F56" s="13">
        <v>0.27317129629629633</v>
      </c>
      <c r="G56" s="20">
        <v>45881</v>
      </c>
      <c r="H56" s="21">
        <v>0.40902777777777777</v>
      </c>
      <c r="I56">
        <v>0</v>
      </c>
      <c r="J56" t="s">
        <v>302</v>
      </c>
      <c r="K56" t="s">
        <v>302</v>
      </c>
      <c r="L56" t="s">
        <v>302</v>
      </c>
      <c r="N56" t="s">
        <v>302</v>
      </c>
      <c r="O56" t="s">
        <v>302</v>
      </c>
      <c r="P56" t="s">
        <v>299</v>
      </c>
      <c r="Q56" s="9" t="s">
        <v>263</v>
      </c>
      <c r="R56" s="8" t="s">
        <v>264</v>
      </c>
    </row>
    <row r="57" spans="1:19">
      <c r="A57" s="8" t="s">
        <v>294</v>
      </c>
      <c r="B57" s="13" t="s">
        <v>336</v>
      </c>
      <c r="C57" s="31">
        <v>0</v>
      </c>
      <c r="D57" s="13" t="s">
        <v>301</v>
      </c>
      <c r="E57" s="12">
        <v>45882</v>
      </c>
      <c r="F57" s="13">
        <v>0.82769675925925934</v>
      </c>
      <c r="G57" s="20">
        <v>45883</v>
      </c>
      <c r="H57" s="21">
        <v>0.88124999999999998</v>
      </c>
      <c r="I57">
        <v>1</v>
      </c>
      <c r="J57">
        <v>14</v>
      </c>
      <c r="K57">
        <v>8</v>
      </c>
      <c r="L57" s="17">
        <v>0.25486111111111109</v>
      </c>
      <c r="M57" s="17">
        <v>0.42777777777777776</v>
      </c>
      <c r="N57" t="s">
        <v>369</v>
      </c>
      <c r="O57" t="s">
        <v>370</v>
      </c>
      <c r="P57" t="s">
        <v>299</v>
      </c>
      <c r="Q57" s="9" t="s">
        <v>269</v>
      </c>
      <c r="R57" s="8" t="s">
        <v>111</v>
      </c>
    </row>
    <row r="58" spans="1:19">
      <c r="A58" s="8" t="s">
        <v>294</v>
      </c>
      <c r="B58" s="13" t="s">
        <v>368</v>
      </c>
      <c r="C58" s="31">
        <v>0</v>
      </c>
      <c r="D58" s="13" t="s">
        <v>301</v>
      </c>
      <c r="E58" s="12">
        <v>45882</v>
      </c>
      <c r="F58" s="13">
        <v>0.85099537037037032</v>
      </c>
      <c r="G58" s="20">
        <v>45883</v>
      </c>
      <c r="H58" s="21">
        <v>0.90069444444444446</v>
      </c>
      <c r="I58">
        <v>0</v>
      </c>
      <c r="J58" t="s">
        <v>302</v>
      </c>
      <c r="K58" t="s">
        <v>302</v>
      </c>
      <c r="L58" t="s">
        <v>302</v>
      </c>
      <c r="N58" t="s">
        <v>302</v>
      </c>
      <c r="O58" t="s">
        <v>302</v>
      </c>
      <c r="P58" t="s">
        <v>367</v>
      </c>
      <c r="Q58" s="9" t="s">
        <v>272</v>
      </c>
      <c r="R58" s="8" t="s">
        <v>273</v>
      </c>
    </row>
    <row r="59" spans="1:19">
      <c r="A59" s="8" t="s">
        <v>294</v>
      </c>
      <c r="B59" s="13" t="s">
        <v>365</v>
      </c>
      <c r="C59" s="31">
        <v>0</v>
      </c>
      <c r="D59" s="13" t="s">
        <v>301</v>
      </c>
      <c r="E59" s="12">
        <v>45882</v>
      </c>
      <c r="F59" s="13">
        <v>0.87156250000000002</v>
      </c>
      <c r="G59" s="20">
        <v>45883</v>
      </c>
      <c r="H59" s="21">
        <v>0.91666666666666663</v>
      </c>
      <c r="I59">
        <v>0</v>
      </c>
      <c r="J59" t="s">
        <v>302</v>
      </c>
      <c r="K59" t="s">
        <v>302</v>
      </c>
      <c r="L59" t="s">
        <v>302</v>
      </c>
      <c r="N59" t="s">
        <v>302</v>
      </c>
      <c r="O59" t="s">
        <v>302</v>
      </c>
      <c r="P59" t="s">
        <v>367</v>
      </c>
      <c r="Q59" s="9" t="s">
        <v>276</v>
      </c>
      <c r="R59" s="8" t="s">
        <v>277</v>
      </c>
    </row>
    <row r="60" spans="1:19">
      <c r="A60" s="8"/>
      <c r="F60"/>
    </row>
    <row r="61" spans="1:19">
      <c r="A61" s="8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opLeftCell="D1" zoomScale="150" zoomScaleNormal="150" workbookViewId="0">
      <selection activeCell="K1" sqref="K1:Q1"/>
    </sheetView>
  </sheetViews>
  <sheetFormatPr defaultColWidth="11.5703125" defaultRowHeight="12.75"/>
  <cols>
    <col min="1" max="1" width="15.5703125" customWidth="1"/>
    <col min="2" max="2" width="15.5703125" style="1" customWidth="1"/>
    <col min="3" max="3" width="14" style="1" customWidth="1"/>
    <col min="4" max="4" width="11.5703125" style="1"/>
    <col min="5" max="5" width="21.140625" style="1" customWidth="1"/>
    <col min="6" max="6" width="21.28515625" style="1" customWidth="1"/>
    <col min="7" max="7" width="24.140625" style="1" customWidth="1"/>
    <col min="8" max="8" width="23" style="2" customWidth="1"/>
    <col min="9" max="9" width="16.42578125" style="1" customWidth="1"/>
    <col min="10" max="10" width="15.5703125" style="1" customWidth="1"/>
    <col min="11" max="11" width="17.7109375" style="2" customWidth="1"/>
    <col min="12" max="12" width="17.140625" style="1" customWidth="1"/>
    <col min="13" max="13" width="16.7109375" style="1" customWidth="1"/>
    <col min="14" max="14" width="18.28515625" style="2" customWidth="1"/>
    <col min="15" max="15" width="12.7109375" style="1" customWidth="1"/>
    <col min="16" max="16" width="41" style="1" customWidth="1"/>
    <col min="17" max="17" width="13.42578125" customWidth="1"/>
  </cols>
  <sheetData>
    <row r="1" spans="1:17">
      <c r="A1" t="s">
        <v>371</v>
      </c>
      <c r="B1" s="1" t="s">
        <v>372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  <c r="H1" s="3" t="s">
        <v>282</v>
      </c>
      <c r="I1" s="1" t="s">
        <v>378</v>
      </c>
      <c r="J1" s="1" t="s">
        <v>379</v>
      </c>
      <c r="K1" s="3" t="s">
        <v>284</v>
      </c>
      <c r="L1" s="1" t="s">
        <v>287</v>
      </c>
      <c r="M1" s="1" t="s">
        <v>286</v>
      </c>
      <c r="N1" s="2" t="s">
        <v>288</v>
      </c>
      <c r="O1" s="1" t="s">
        <v>290</v>
      </c>
      <c r="P1" s="1" t="s">
        <v>292</v>
      </c>
      <c r="Q1" t="s">
        <v>293</v>
      </c>
    </row>
    <row r="2" spans="1:17" s="4" customFormat="1">
      <c r="A2" s="4" t="s">
        <v>380</v>
      </c>
      <c r="B2" s="5" t="s">
        <v>381</v>
      </c>
      <c r="C2" s="5" t="s">
        <v>382</v>
      </c>
      <c r="D2" s="5">
        <v>2024</v>
      </c>
      <c r="E2" s="5">
        <v>8</v>
      </c>
      <c r="F2" s="5">
        <v>19</v>
      </c>
      <c r="G2" s="5" t="s">
        <v>383</v>
      </c>
      <c r="H2" s="6">
        <v>0.84444444444444444</v>
      </c>
      <c r="I2" s="5">
        <v>8</v>
      </c>
      <c r="J2" s="5">
        <v>22</v>
      </c>
      <c r="K2" s="6">
        <v>0.43055555555555558</v>
      </c>
      <c r="L2" s="5"/>
      <c r="M2" s="5"/>
      <c r="N2" s="6"/>
      <c r="O2" s="5"/>
      <c r="P2" s="5" t="s">
        <v>384</v>
      </c>
    </row>
    <row r="4" spans="1:17">
      <c r="A4" s="7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Roman,Normal"&amp;12Page &amp;P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C9961D9AF3F348A2E1860F505B52AD" ma:contentTypeVersion="13" ma:contentTypeDescription="Crée un document." ma:contentTypeScope="" ma:versionID="3518419e5534bd11b41fb3a5e90cb470">
  <xsd:schema xmlns:xsd="http://www.w3.org/2001/XMLSchema" xmlns:xs="http://www.w3.org/2001/XMLSchema" xmlns:p="http://schemas.microsoft.com/office/2006/metadata/properties" xmlns:ns2="e681a4cf-589c-44db-a4f0-d8122bd57696" xmlns:ns3="4150bd76-2d30-496a-a28f-2594832ef37f" targetNamespace="http://schemas.microsoft.com/office/2006/metadata/properties" ma:root="true" ma:fieldsID="a3ea86d1f266ee28e4bb0a9e237306c1" ns2:_="" ns3:_="">
    <xsd:import namespace="e681a4cf-589c-44db-a4f0-d8122bd57696"/>
    <xsd:import namespace="4150bd76-2d30-496a-a28f-2594832ef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1a4cf-589c-44db-a4f0-d8122bd57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0bd76-2d30-496a-a28f-2594832ef3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ae8f1c-8f0a-46c9-9af2-8acd45080cb6}" ma:internalName="TaxCatchAll" ma:showField="CatchAllData" ma:web="4150bd76-2d30-496a-a28f-2594832ef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50bd76-2d30-496a-a28f-2594832ef37f" xsi:nil="true"/>
    <lcf76f155ced4ddcb4097134ff3c332f xmlns="e681a4cf-589c-44db-a4f0-d8122bd576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896BFB-4268-400B-9F21-C929E15AAA90}"/>
</file>

<file path=customXml/itemProps2.xml><?xml version="1.0" encoding="utf-8"?>
<ds:datastoreItem xmlns:ds="http://schemas.openxmlformats.org/officeDocument/2006/customXml" ds:itemID="{C333C1F7-BA4F-4E04-AF60-76C00428EE18}"/>
</file>

<file path=customXml/itemProps3.xml><?xml version="1.0" encoding="utf-8"?>
<ds:datastoreItem xmlns:ds="http://schemas.openxmlformats.org/officeDocument/2006/customXml" ds:itemID="{410EDD75-D226-4759-9DB3-4216DF448C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 J. Mazerolle</dc:creator>
  <cp:keywords/>
  <dc:description/>
  <cp:lastModifiedBy>Robin Besançon</cp:lastModifiedBy>
  <cp:revision>8</cp:revision>
  <dcterms:created xsi:type="dcterms:W3CDTF">2024-05-05T20:08:38Z</dcterms:created>
  <dcterms:modified xsi:type="dcterms:W3CDTF">2026-06-30T13:22:17Z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0x01010011C9961D9AF3F348A2E1860F505B52AD</vt:lpwstr>
  </property>
  <property fmtid="{D5CDD505-2E9C-101B-9397-08002B2CF9AE}" pid="3" name="MediaServiceImageTags">
    <vt:lpwstr/>
  </property>
</Properties>
</file>